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3c6c645f2818f1/Desktop/Rec/"/>
    </mc:Choice>
  </mc:AlternateContent>
  <xr:revisionPtr revIDLastSave="590" documentId="8_{601600AC-988F-497C-B75B-B23723F246DF}" xr6:coauthVersionLast="47" xr6:coauthVersionMax="47" xr10:uidLastSave="{B341561E-F723-4E57-A107-8890A4DB1C8C}"/>
  <bookViews>
    <workbookView xWindow="-15" yWindow="0" windowWidth="20310" windowHeight="10590" activeTab="3" xr2:uid="{90047F49-C960-4D37-A226-E13E3A343FCB}"/>
  </bookViews>
  <sheets>
    <sheet name="FE" sheetId="1" r:id="rId1"/>
    <sheet name="ETR" sheetId="2" r:id="rId2"/>
    <sheet name="ITT" sheetId="3" r:id="rId3"/>
    <sheet name="Stacks" sheetId="5" r:id="rId4"/>
  </sheets>
  <definedNames>
    <definedName name="_xlnm._FilterDatabase" localSheetId="0" hidden="1">FE!$A$2:$O$175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5" l="1"/>
  <c r="E6" i="5"/>
  <c r="F6" i="5"/>
  <c r="G6" i="5"/>
  <c r="D12" i="5"/>
  <c r="E12" i="5"/>
  <c r="F12" i="5"/>
  <c r="G12" i="5"/>
  <c r="D17" i="5"/>
  <c r="E17" i="5"/>
  <c r="F17" i="5"/>
  <c r="G17" i="5"/>
  <c r="D22" i="5"/>
  <c r="E22" i="5"/>
  <c r="F22" i="5"/>
  <c r="G22" i="5"/>
  <c r="D26" i="5"/>
  <c r="E26" i="5"/>
  <c r="F26" i="5"/>
  <c r="G26" i="5"/>
  <c r="D31" i="5"/>
  <c r="E31" i="5"/>
  <c r="F31" i="5"/>
  <c r="G31" i="5"/>
  <c r="D36" i="5"/>
  <c r="E36" i="5"/>
  <c r="F36" i="5"/>
  <c r="G36" i="5"/>
  <c r="D41" i="5"/>
  <c r="E41" i="5"/>
  <c r="F41" i="5"/>
  <c r="G41" i="5"/>
  <c r="D45" i="5"/>
  <c r="E45" i="5"/>
  <c r="F45" i="5"/>
  <c r="G45" i="5"/>
  <c r="D50" i="5"/>
  <c r="E50" i="5"/>
  <c r="F50" i="5"/>
  <c r="G50" i="5"/>
  <c r="D56" i="5"/>
  <c r="E56" i="5"/>
  <c r="F56" i="5"/>
  <c r="G56" i="5"/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8" i="1"/>
  <c r="M17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1" i="1"/>
  <c r="M100" i="1"/>
  <c r="M102" i="1"/>
  <c r="M103" i="1"/>
  <c r="M104" i="1"/>
  <c r="M106" i="1"/>
  <c r="M105" i="1"/>
  <c r="M107" i="1"/>
  <c r="M108" i="1"/>
  <c r="M110" i="1"/>
  <c r="M111" i="1"/>
  <c r="M109" i="1"/>
  <c r="M112" i="1"/>
  <c r="M113" i="1"/>
  <c r="M114" i="1"/>
  <c r="M115" i="1"/>
  <c r="M116" i="1"/>
  <c r="M117" i="1"/>
  <c r="M118" i="1"/>
  <c r="M119" i="1"/>
  <c r="M121" i="1"/>
  <c r="M120" i="1"/>
  <c r="M123" i="1"/>
  <c r="M122" i="1"/>
  <c r="M125" i="1"/>
  <c r="M124" i="1"/>
  <c r="M126" i="1"/>
  <c r="M127" i="1"/>
  <c r="M128" i="1"/>
  <c r="M130" i="1"/>
  <c r="M129" i="1"/>
  <c r="M131" i="1"/>
  <c r="M132" i="1"/>
  <c r="M133" i="1"/>
  <c r="M134" i="1"/>
  <c r="M136" i="1"/>
  <c r="M135" i="1"/>
  <c r="M137" i="1"/>
  <c r="M138" i="1"/>
  <c r="M140" i="1"/>
  <c r="M139" i="1"/>
  <c r="M142" i="1"/>
  <c r="M141" i="1"/>
  <c r="M144" i="1"/>
  <c r="M143" i="1"/>
  <c r="M145" i="1"/>
  <c r="M146" i="1"/>
  <c r="M147" i="1"/>
  <c r="M149" i="1"/>
  <c r="M150" i="1"/>
  <c r="M148" i="1"/>
  <c r="M152" i="1"/>
  <c r="M151" i="1"/>
  <c r="M153" i="1"/>
  <c r="M154" i="1"/>
  <c r="M155" i="1"/>
  <c r="M156" i="1"/>
  <c r="M157" i="1"/>
  <c r="M158" i="1"/>
  <c r="M160" i="1"/>
  <c r="M159" i="1"/>
  <c r="M163" i="1"/>
  <c r="M161" i="1"/>
  <c r="M162" i="1"/>
  <c r="M166" i="1"/>
  <c r="M164" i="1"/>
  <c r="M165" i="1"/>
  <c r="M171" i="1"/>
  <c r="M167" i="1"/>
  <c r="M168" i="1"/>
  <c r="M169" i="1"/>
  <c r="M170" i="1"/>
  <c r="M175" i="1"/>
  <c r="M173" i="1"/>
  <c r="M174" i="1"/>
  <c r="M172" i="1"/>
  <c r="M3" i="1"/>
  <c r="K172" i="1"/>
  <c r="K174" i="1"/>
  <c r="K173" i="1"/>
  <c r="K175" i="1"/>
  <c r="K170" i="1"/>
  <c r="K169" i="1"/>
  <c r="K168" i="1"/>
  <c r="K167" i="1"/>
  <c r="K171" i="1"/>
  <c r="K165" i="1"/>
  <c r="K164" i="1"/>
  <c r="K166" i="1"/>
  <c r="K162" i="1"/>
  <c r="K161" i="1"/>
  <c r="K163" i="1"/>
  <c r="K159" i="1"/>
  <c r="K160" i="1"/>
  <c r="K158" i="1"/>
  <c r="K157" i="1"/>
  <c r="K156" i="1"/>
  <c r="K155" i="1"/>
  <c r="K154" i="1"/>
  <c r="K153" i="1"/>
  <c r="K151" i="1"/>
  <c r="K152" i="1"/>
  <c r="K148" i="1"/>
  <c r="K150" i="1"/>
  <c r="K149" i="1"/>
  <c r="K147" i="1"/>
  <c r="K146" i="1"/>
  <c r="K145" i="1"/>
  <c r="K143" i="1"/>
  <c r="K144" i="1"/>
  <c r="K141" i="1"/>
  <c r="K142" i="1"/>
  <c r="K139" i="1"/>
  <c r="K140" i="1"/>
  <c r="K138" i="1"/>
  <c r="K137" i="1"/>
  <c r="K135" i="1"/>
  <c r="K136" i="1"/>
  <c r="K134" i="1"/>
  <c r="K133" i="1"/>
  <c r="K132" i="1"/>
  <c r="K131" i="1"/>
  <c r="K129" i="1"/>
  <c r="K130" i="1"/>
  <c r="K128" i="1"/>
  <c r="K127" i="1"/>
  <c r="K126" i="1"/>
  <c r="K124" i="1"/>
  <c r="K125" i="1"/>
  <c r="K122" i="1"/>
  <c r="K123" i="1"/>
  <c r="K120" i="1"/>
  <c r="K121" i="1"/>
  <c r="K119" i="1"/>
  <c r="K118" i="1"/>
  <c r="K117" i="1"/>
  <c r="K116" i="1"/>
  <c r="K115" i="1"/>
  <c r="K114" i="1"/>
  <c r="K113" i="1"/>
  <c r="K112" i="1"/>
  <c r="K109" i="1"/>
  <c r="K111" i="1"/>
  <c r="K110" i="1"/>
  <c r="K108" i="1"/>
  <c r="K107" i="1"/>
  <c r="K105" i="1"/>
  <c r="K106" i="1"/>
  <c r="K104" i="1"/>
  <c r="K103" i="1"/>
  <c r="K102" i="1"/>
  <c r="K100" i="1"/>
  <c r="K101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8" i="1"/>
  <c r="L17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1" i="1"/>
  <c r="L100" i="1"/>
  <c r="L102" i="1"/>
  <c r="L103" i="1"/>
  <c r="L104" i="1"/>
  <c r="L106" i="1"/>
  <c r="L105" i="1"/>
  <c r="L107" i="1"/>
  <c r="L108" i="1"/>
  <c r="L110" i="1"/>
  <c r="L111" i="1"/>
  <c r="L109" i="1"/>
  <c r="L112" i="1"/>
  <c r="L113" i="1"/>
  <c r="L114" i="1"/>
  <c r="L115" i="1"/>
  <c r="L116" i="1"/>
  <c r="L117" i="1"/>
  <c r="L118" i="1"/>
  <c r="L119" i="1"/>
  <c r="L121" i="1"/>
  <c r="L120" i="1"/>
  <c r="L123" i="1"/>
  <c r="L122" i="1"/>
  <c r="L125" i="1"/>
  <c r="L124" i="1"/>
  <c r="L126" i="1"/>
  <c r="L127" i="1"/>
  <c r="L128" i="1"/>
  <c r="L130" i="1"/>
  <c r="L129" i="1"/>
  <c r="L131" i="1"/>
  <c r="L132" i="1"/>
  <c r="L133" i="1"/>
  <c r="L134" i="1"/>
  <c r="L136" i="1"/>
  <c r="L135" i="1"/>
  <c r="L137" i="1"/>
  <c r="L138" i="1"/>
  <c r="L140" i="1"/>
  <c r="L139" i="1"/>
  <c r="L142" i="1"/>
  <c r="L141" i="1"/>
  <c r="L144" i="1"/>
  <c r="L143" i="1"/>
  <c r="L145" i="1"/>
  <c r="L146" i="1"/>
  <c r="L147" i="1"/>
  <c r="L149" i="1"/>
  <c r="L150" i="1"/>
  <c r="L148" i="1"/>
  <c r="L152" i="1"/>
  <c r="L151" i="1"/>
  <c r="L153" i="1"/>
  <c r="L154" i="1"/>
  <c r="L155" i="1"/>
  <c r="L156" i="1"/>
  <c r="L157" i="1"/>
  <c r="L158" i="1"/>
  <c r="L160" i="1"/>
  <c r="L159" i="1"/>
  <c r="L163" i="1"/>
  <c r="L161" i="1"/>
  <c r="L162" i="1"/>
  <c r="L166" i="1"/>
  <c r="L164" i="1"/>
  <c r="L165" i="1"/>
  <c r="L171" i="1"/>
  <c r="L167" i="1"/>
  <c r="L168" i="1"/>
  <c r="L169" i="1"/>
  <c r="L170" i="1"/>
  <c r="L175" i="1"/>
  <c r="L173" i="1"/>
  <c r="L174" i="1"/>
  <c r="L172" i="1"/>
  <c r="L3" i="1"/>
  <c r="L1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8" i="1"/>
  <c r="J17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1" i="1"/>
  <c r="J100" i="1"/>
  <c r="J102" i="1"/>
  <c r="J103" i="1"/>
  <c r="J104" i="1"/>
  <c r="J106" i="1"/>
  <c r="J105" i="1"/>
  <c r="J107" i="1"/>
  <c r="J108" i="1"/>
  <c r="J110" i="1"/>
  <c r="J111" i="1"/>
  <c r="J109" i="1"/>
  <c r="J112" i="1"/>
  <c r="J113" i="1"/>
  <c r="J114" i="1"/>
  <c r="J115" i="1"/>
  <c r="J116" i="1"/>
  <c r="J117" i="1"/>
  <c r="J118" i="1"/>
  <c r="J119" i="1"/>
  <c r="J121" i="1"/>
  <c r="J120" i="1"/>
  <c r="J123" i="1"/>
  <c r="J122" i="1"/>
  <c r="J125" i="1"/>
  <c r="J124" i="1"/>
  <c r="J126" i="1"/>
  <c r="J127" i="1"/>
  <c r="J128" i="1"/>
  <c r="J130" i="1"/>
  <c r="J129" i="1"/>
  <c r="J131" i="1"/>
  <c r="J132" i="1"/>
  <c r="J133" i="1"/>
  <c r="J134" i="1"/>
  <c r="J136" i="1"/>
  <c r="J135" i="1"/>
  <c r="J137" i="1"/>
  <c r="J138" i="1"/>
  <c r="J140" i="1"/>
  <c r="J139" i="1"/>
  <c r="J142" i="1"/>
  <c r="J141" i="1"/>
  <c r="J144" i="1"/>
  <c r="J143" i="1"/>
  <c r="J145" i="1"/>
  <c r="J146" i="1"/>
  <c r="J147" i="1"/>
  <c r="J149" i="1"/>
  <c r="J150" i="1"/>
  <c r="J148" i="1"/>
  <c r="J152" i="1"/>
  <c r="J151" i="1"/>
  <c r="J153" i="1"/>
  <c r="J154" i="1"/>
  <c r="J155" i="1"/>
  <c r="J156" i="1"/>
  <c r="J157" i="1"/>
  <c r="J158" i="1"/>
  <c r="J160" i="1"/>
  <c r="J159" i="1"/>
  <c r="J163" i="1"/>
  <c r="J161" i="1"/>
  <c r="J162" i="1"/>
  <c r="J166" i="1"/>
  <c r="J164" i="1"/>
  <c r="J165" i="1"/>
  <c r="J171" i="1"/>
  <c r="J167" i="1"/>
  <c r="J168" i="1"/>
  <c r="J169" i="1"/>
  <c r="J170" i="1"/>
  <c r="J175" i="1"/>
  <c r="J173" i="1"/>
  <c r="J174" i="1"/>
  <c r="J172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8" i="1"/>
  <c r="I17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1" i="1"/>
  <c r="I100" i="1"/>
  <c r="I102" i="1"/>
  <c r="I103" i="1"/>
  <c r="I104" i="1"/>
  <c r="I106" i="1"/>
  <c r="I105" i="1"/>
  <c r="I107" i="1"/>
  <c r="I108" i="1"/>
  <c r="I110" i="1"/>
  <c r="I111" i="1"/>
  <c r="I109" i="1"/>
  <c r="I112" i="1"/>
  <c r="I113" i="1"/>
  <c r="I114" i="1"/>
  <c r="I115" i="1"/>
  <c r="I116" i="1"/>
  <c r="I117" i="1"/>
  <c r="I118" i="1"/>
  <c r="I119" i="1"/>
  <c r="I121" i="1"/>
  <c r="I120" i="1"/>
  <c r="I123" i="1"/>
  <c r="I122" i="1"/>
  <c r="I125" i="1"/>
  <c r="I124" i="1"/>
  <c r="I126" i="1"/>
  <c r="I127" i="1"/>
  <c r="I128" i="1"/>
  <c r="I130" i="1"/>
  <c r="I129" i="1"/>
  <c r="I131" i="1"/>
  <c r="I132" i="1"/>
  <c r="I133" i="1"/>
  <c r="I134" i="1"/>
  <c r="I136" i="1"/>
  <c r="I135" i="1"/>
  <c r="I137" i="1"/>
  <c r="I138" i="1"/>
  <c r="I140" i="1"/>
  <c r="I139" i="1"/>
  <c r="I142" i="1"/>
  <c r="I141" i="1"/>
  <c r="I144" i="1"/>
  <c r="I143" i="1"/>
  <c r="I145" i="1"/>
  <c r="I146" i="1"/>
  <c r="I147" i="1"/>
  <c r="I149" i="1"/>
  <c r="I150" i="1"/>
  <c r="I148" i="1"/>
  <c r="I152" i="1"/>
  <c r="I151" i="1"/>
  <c r="I153" i="1"/>
  <c r="I154" i="1"/>
  <c r="I155" i="1"/>
  <c r="I156" i="1"/>
  <c r="I157" i="1"/>
  <c r="I158" i="1"/>
  <c r="I160" i="1"/>
  <c r="I159" i="1"/>
  <c r="I163" i="1"/>
  <c r="I161" i="1"/>
  <c r="I162" i="1"/>
  <c r="I166" i="1"/>
  <c r="I164" i="1"/>
  <c r="I165" i="1"/>
  <c r="I171" i="1"/>
  <c r="I167" i="1"/>
  <c r="I168" i="1"/>
  <c r="I169" i="1"/>
  <c r="I170" i="1"/>
  <c r="I175" i="1"/>
  <c r="I173" i="1"/>
  <c r="I174" i="1"/>
  <c r="I172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8" i="1"/>
  <c r="H17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1" i="1"/>
  <c r="H100" i="1"/>
  <c r="H102" i="1"/>
  <c r="H103" i="1"/>
  <c r="H104" i="1"/>
  <c r="H106" i="1"/>
  <c r="H105" i="1"/>
  <c r="H107" i="1"/>
  <c r="H108" i="1"/>
  <c r="H110" i="1"/>
  <c r="H111" i="1"/>
  <c r="H109" i="1"/>
  <c r="H112" i="1"/>
  <c r="H113" i="1"/>
  <c r="H114" i="1"/>
  <c r="H115" i="1"/>
  <c r="H116" i="1"/>
  <c r="H117" i="1"/>
  <c r="H118" i="1"/>
  <c r="H119" i="1"/>
  <c r="H121" i="1"/>
  <c r="H120" i="1"/>
  <c r="H123" i="1"/>
  <c r="H122" i="1"/>
  <c r="H125" i="1"/>
  <c r="H124" i="1"/>
  <c r="H126" i="1"/>
  <c r="H127" i="1"/>
  <c r="H128" i="1"/>
  <c r="H130" i="1"/>
  <c r="H129" i="1"/>
  <c r="H131" i="1"/>
  <c r="H132" i="1"/>
  <c r="H133" i="1"/>
  <c r="H134" i="1"/>
  <c r="H136" i="1"/>
  <c r="H135" i="1"/>
  <c r="H137" i="1"/>
  <c r="H138" i="1"/>
  <c r="H140" i="1"/>
  <c r="H139" i="1"/>
  <c r="H142" i="1"/>
  <c r="H141" i="1"/>
  <c r="H144" i="1"/>
  <c r="H143" i="1"/>
  <c r="H145" i="1"/>
  <c r="H146" i="1"/>
  <c r="H147" i="1"/>
  <c r="H149" i="1"/>
  <c r="H150" i="1"/>
  <c r="H148" i="1"/>
  <c r="H152" i="1"/>
  <c r="H151" i="1"/>
  <c r="H153" i="1"/>
  <c r="H154" i="1"/>
  <c r="H155" i="1"/>
  <c r="H156" i="1"/>
  <c r="H157" i="1"/>
  <c r="H158" i="1"/>
  <c r="H160" i="1"/>
  <c r="H159" i="1"/>
  <c r="H163" i="1"/>
  <c r="H161" i="1"/>
  <c r="H162" i="1"/>
  <c r="H166" i="1"/>
  <c r="H164" i="1"/>
  <c r="H165" i="1"/>
  <c r="H171" i="1"/>
  <c r="H167" i="1"/>
  <c r="H168" i="1"/>
  <c r="H169" i="1"/>
  <c r="H170" i="1"/>
  <c r="H175" i="1"/>
  <c r="H173" i="1"/>
  <c r="H174" i="1"/>
  <c r="H172" i="1"/>
  <c r="H3" i="1"/>
  <c r="H1" i="1" l="1"/>
  <c r="J1" i="1"/>
</calcChain>
</file>

<file path=xl/sharedStrings.xml><?xml version="1.0" encoding="utf-8"?>
<sst xmlns="http://schemas.openxmlformats.org/spreadsheetml/2006/main" count="2117" uniqueCount="437">
  <si>
    <t>Name</t>
  </si>
  <si>
    <t>ID</t>
  </si>
  <si>
    <t>Game Info</t>
  </si>
  <si>
    <t>RB</t>
  </si>
  <si>
    <t>Jonathan Taylor</t>
  </si>
  <si>
    <t>IND</t>
  </si>
  <si>
    <t>Christian McCaffrey</t>
  </si>
  <si>
    <t>SF</t>
  </si>
  <si>
    <t>Bijan Robinson</t>
  </si>
  <si>
    <t>ATL</t>
  </si>
  <si>
    <t>WR</t>
  </si>
  <si>
    <t>Ja'Marr Chase</t>
  </si>
  <si>
    <t>CIN</t>
  </si>
  <si>
    <t>CeeDee Lamb</t>
  </si>
  <si>
    <t>DAL</t>
  </si>
  <si>
    <t>Saquon Barkley</t>
  </si>
  <si>
    <t>PHI</t>
  </si>
  <si>
    <t>QB</t>
  </si>
  <si>
    <t>Josh Allen</t>
  </si>
  <si>
    <t>BUF</t>
  </si>
  <si>
    <t>De'Von Achane</t>
  </si>
  <si>
    <t>MIA</t>
  </si>
  <si>
    <t>HOU</t>
  </si>
  <si>
    <t>George Pickens</t>
  </si>
  <si>
    <t>Emeka Egbuka</t>
  </si>
  <si>
    <t>TB</t>
  </si>
  <si>
    <t>BAL</t>
  </si>
  <si>
    <t>Javonte Williams</t>
  </si>
  <si>
    <t>James Cook III</t>
  </si>
  <si>
    <t>Jalen Hurts</t>
  </si>
  <si>
    <t>Cam Skattebo</t>
  </si>
  <si>
    <t>NYG</t>
  </si>
  <si>
    <t>Quinshon Judkins</t>
  </si>
  <si>
    <t>CLE</t>
  </si>
  <si>
    <t>Dak Prescott</t>
  </si>
  <si>
    <t>Drake London</t>
  </si>
  <si>
    <t>Baker Mayfield</t>
  </si>
  <si>
    <t>Rachaad White</t>
  </si>
  <si>
    <t>Rome Odunze</t>
  </si>
  <si>
    <t>CHI</t>
  </si>
  <si>
    <t>Rico Dowdle</t>
  </si>
  <si>
    <t>CAR</t>
  </si>
  <si>
    <t>Drake Maye</t>
  </si>
  <si>
    <t>NE</t>
  </si>
  <si>
    <t>Courtland Sutton</t>
  </si>
  <si>
    <t>DEN</t>
  </si>
  <si>
    <t>Breece Hall</t>
  </si>
  <si>
    <t>NYJ</t>
  </si>
  <si>
    <t>Daniel Jones</t>
  </si>
  <si>
    <t>Derrick Henry</t>
  </si>
  <si>
    <t>Bo Nix</t>
  </si>
  <si>
    <t>TE</t>
  </si>
  <si>
    <t>Jake Ferguson</t>
  </si>
  <si>
    <t>D'Andre Swift</t>
  </si>
  <si>
    <t>DeVonta Smith</t>
  </si>
  <si>
    <t>Stefon Diggs</t>
  </si>
  <si>
    <t>Chris Olave</t>
  </si>
  <si>
    <t>NO</t>
  </si>
  <si>
    <t>J.K. Dobbins</t>
  </si>
  <si>
    <t>Jaylen Waddle</t>
  </si>
  <si>
    <t>Tetairoa McMillan</t>
  </si>
  <si>
    <t>Alvin Kamara</t>
  </si>
  <si>
    <t>Caleb Williams</t>
  </si>
  <si>
    <t>Tee Higgins</t>
  </si>
  <si>
    <t>Michael Pittman Jr.</t>
  </si>
  <si>
    <t>Rhamondre Stevenson</t>
  </si>
  <si>
    <t>Jaxson Dart</t>
  </si>
  <si>
    <t>Tyler Warren</t>
  </si>
  <si>
    <t>Zay Flowers</t>
  </si>
  <si>
    <t>Joe Flacco</t>
  </si>
  <si>
    <t>Chase Brown</t>
  </si>
  <si>
    <t>DJ Moore</t>
  </si>
  <si>
    <t>Chuba Hubbard</t>
  </si>
  <si>
    <t>Mac Jones</t>
  </si>
  <si>
    <t>Wan'Dale Robinson</t>
  </si>
  <si>
    <t>Tony Pollard</t>
  </si>
  <si>
    <t>TEN</t>
  </si>
  <si>
    <t>Khalil Shakir</t>
  </si>
  <si>
    <t>C.J. Stroud</t>
  </si>
  <si>
    <t>Woody Marks</t>
  </si>
  <si>
    <t>Kendrick Bourne</t>
  </si>
  <si>
    <t>Keon Coleman</t>
  </si>
  <si>
    <t>Justin Fields</t>
  </si>
  <si>
    <t>Nick Chubb</t>
  </si>
  <si>
    <t>Kyle Monangai</t>
  </si>
  <si>
    <t>Tua Tagovailoa</t>
  </si>
  <si>
    <t>Tyler Allgeier</t>
  </si>
  <si>
    <t>Kayshon Boutte</t>
  </si>
  <si>
    <t>RJ Harvey</t>
  </si>
  <si>
    <t>Spencer Rattler</t>
  </si>
  <si>
    <t>Rashid Shaheed</t>
  </si>
  <si>
    <t>Tyjae Spears</t>
  </si>
  <si>
    <t>Josh Downs</t>
  </si>
  <si>
    <t>Jauan Jennings</t>
  </si>
  <si>
    <t>Tyrone Tracy Jr.</t>
  </si>
  <si>
    <t>Will Shipley</t>
  </si>
  <si>
    <t>Cam Ward</t>
  </si>
  <si>
    <t>Alec Pierce</t>
  </si>
  <si>
    <t>Justice Hill</t>
  </si>
  <si>
    <t>Andy Dalton</t>
  </si>
  <si>
    <t>Brian Robinson Jr.</t>
  </si>
  <si>
    <t>George Kittle</t>
  </si>
  <si>
    <t>TreVeyon Henderson</t>
  </si>
  <si>
    <t>Sterling Shepard</t>
  </si>
  <si>
    <t>Kirk Cousins</t>
  </si>
  <si>
    <t>Darnell Mooney</t>
  </si>
  <si>
    <t>Samaje Perine</t>
  </si>
  <si>
    <t>Harold Fannin Jr.</t>
  </si>
  <si>
    <t>Sean Tucker</t>
  </si>
  <si>
    <t>Ollie Gordon II</t>
  </si>
  <si>
    <t>Tyler Huntley</t>
  </si>
  <si>
    <t>Dalton Kincaid</t>
  </si>
  <si>
    <t>Jerome Ford</t>
  </si>
  <si>
    <t>Darius Slayton</t>
  </si>
  <si>
    <t>Tez Johnson</t>
  </si>
  <si>
    <t>DeAndre Hopkins</t>
  </si>
  <si>
    <t>Ray Davis</t>
  </si>
  <si>
    <t>Dillon Gabriel</t>
  </si>
  <si>
    <t>Dallas Goedert</t>
  </si>
  <si>
    <t>Devin Neal</t>
  </si>
  <si>
    <t>Troy Franklin</t>
  </si>
  <si>
    <t>Rashod Bateman</t>
  </si>
  <si>
    <t>Isaiah Davis</t>
  </si>
  <si>
    <t>Jerry Jeudy</t>
  </si>
  <si>
    <t>Evan Engram</t>
  </si>
  <si>
    <t>Nathan Carter</t>
  </si>
  <si>
    <t>Jaylen Wright</t>
  </si>
  <si>
    <t>Alec Ingold</t>
  </si>
  <si>
    <t>Travis Homer</t>
  </si>
  <si>
    <t>Keaton Mitchell</t>
  </si>
  <si>
    <t>Patrick Ricard</t>
  </si>
  <si>
    <t>Ty Johnson</t>
  </si>
  <si>
    <t>Reggie Gilliam</t>
  </si>
  <si>
    <t>Trevor Etienne</t>
  </si>
  <si>
    <t>Xavier Legette</t>
  </si>
  <si>
    <t>Tahj Brooks</t>
  </si>
  <si>
    <t>Andrew Beck</t>
  </si>
  <si>
    <t>British Brooks</t>
  </si>
  <si>
    <t>Dare Ogunbowale</t>
  </si>
  <si>
    <t>Isaac Guerendo</t>
  </si>
  <si>
    <t>Kyle Juszczyk</t>
  </si>
  <si>
    <t>Dylan Sampson</t>
  </si>
  <si>
    <t>Terrell Jennings</t>
  </si>
  <si>
    <t>Jack Westover</t>
  </si>
  <si>
    <t>Devin Singletary</t>
  </si>
  <si>
    <t>Tank Bigsby</t>
  </si>
  <si>
    <t>Josh Williams</t>
  </si>
  <si>
    <t>Jaydon Blue</t>
  </si>
  <si>
    <t>Malik Davis</t>
  </si>
  <si>
    <t>Hunter Luepke</t>
  </si>
  <si>
    <t>Tyler Badie</t>
  </si>
  <si>
    <t>Adam Prentice</t>
  </si>
  <si>
    <t>Julius Chestnut</t>
  </si>
  <si>
    <t>DJ Giddens</t>
  </si>
  <si>
    <t>Ameer Abdullah</t>
  </si>
  <si>
    <t>Kyle Pitts Sr.</t>
  </si>
  <si>
    <t>Marvin Mims Jr.</t>
  </si>
  <si>
    <t>Elic Ayomanor</t>
  </si>
  <si>
    <t>Luther Burden III</t>
  </si>
  <si>
    <t>Jalen Coker</t>
  </si>
  <si>
    <t>DeMario Douglas</t>
  </si>
  <si>
    <t>Hunter Henry</t>
  </si>
  <si>
    <t>DST</t>
  </si>
  <si>
    <t xml:space="preserve">Colts </t>
  </si>
  <si>
    <t>Malik Washington</t>
  </si>
  <si>
    <t>Xavier Hutchinson</t>
  </si>
  <si>
    <t>Theo Johnson</t>
  </si>
  <si>
    <t>Kameron Johnson</t>
  </si>
  <si>
    <t>Mark Andrews</t>
  </si>
  <si>
    <t>Andrei Iosivas</t>
  </si>
  <si>
    <t xml:space="preserve">Patriots </t>
  </si>
  <si>
    <t>Ryan Flournoy</t>
  </si>
  <si>
    <t xml:space="preserve">Falcons </t>
  </si>
  <si>
    <t>Curtis Samuel</t>
  </si>
  <si>
    <t>Mason Taylor</t>
  </si>
  <si>
    <t>Jayden Higgins</t>
  </si>
  <si>
    <t>Jaylin Noel</t>
  </si>
  <si>
    <t>Allen Lazard</t>
  </si>
  <si>
    <t>David Njoku</t>
  </si>
  <si>
    <t>Cade Otton</t>
  </si>
  <si>
    <t xml:space="preserve">Buccaneers </t>
  </si>
  <si>
    <t>Chimere Dike</t>
  </si>
  <si>
    <t>Casey Washington</t>
  </si>
  <si>
    <t>Olamide Zaccheaus</t>
  </si>
  <si>
    <t xml:space="preserve">Bills </t>
  </si>
  <si>
    <t>Dalton Schultz</t>
  </si>
  <si>
    <t>Mack Hollins</t>
  </si>
  <si>
    <t>Ryan Miller</t>
  </si>
  <si>
    <t>Juwan Johnson</t>
  </si>
  <si>
    <t>KaVontae Turpin</t>
  </si>
  <si>
    <t>Van Jefferson</t>
  </si>
  <si>
    <t>Elijah Moore</t>
  </si>
  <si>
    <t>Arian Smith</t>
  </si>
  <si>
    <t>Noah Fant</t>
  </si>
  <si>
    <t>Isaiah Bond</t>
  </si>
  <si>
    <t>Jalin Hyatt</t>
  </si>
  <si>
    <t xml:space="preserve">Eagles </t>
  </si>
  <si>
    <t>Brandin Cooks</t>
  </si>
  <si>
    <t>Chig Okonkwo</t>
  </si>
  <si>
    <t>Tyler Johnson</t>
  </si>
  <si>
    <t>Demarcus Robinson</t>
  </si>
  <si>
    <t>Jamari Thrash</t>
  </si>
  <si>
    <t>Jalen Tolbert</t>
  </si>
  <si>
    <t xml:space="preserve">Broncos </t>
  </si>
  <si>
    <t>Gunnar Helm</t>
  </si>
  <si>
    <t>David Sills V</t>
  </si>
  <si>
    <t>KhaDarel Hodge</t>
  </si>
  <si>
    <t>Nick Westbrook-Ikhine</t>
  </si>
  <si>
    <t>Dee Eskridge</t>
  </si>
  <si>
    <t>Tylan Wallace</t>
  </si>
  <si>
    <t>Colston Loveland</t>
  </si>
  <si>
    <t>Tyrell Shavers</t>
  </si>
  <si>
    <t>Brycen Tremayne</t>
  </si>
  <si>
    <t>Jimmy Horn Jr.</t>
  </si>
  <si>
    <t>Mitch Tinsley</t>
  </si>
  <si>
    <t>Braxton Berrios</t>
  </si>
  <si>
    <t>Skyy Moore</t>
  </si>
  <si>
    <t>Malik Turner</t>
  </si>
  <si>
    <t>Jake Tonges</t>
  </si>
  <si>
    <t xml:space="preserve">Texans </t>
  </si>
  <si>
    <t>Malachi Corley</t>
  </si>
  <si>
    <t>Gage Larvadain</t>
  </si>
  <si>
    <t>Kyle Williams</t>
  </si>
  <si>
    <t>Efton Chism III</t>
  </si>
  <si>
    <t>Lil'Jordan Humphrey</t>
  </si>
  <si>
    <t>Beaux Collins</t>
  </si>
  <si>
    <t>Jahan Dotson</t>
  </si>
  <si>
    <t>John Metchie III</t>
  </si>
  <si>
    <t>Xavier Gipson</t>
  </si>
  <si>
    <t>Devaughn Vele</t>
  </si>
  <si>
    <t>Mason Tipton</t>
  </si>
  <si>
    <t>Jonathan Mingo</t>
  </si>
  <si>
    <t>Pat Bryant</t>
  </si>
  <si>
    <t>Trent Sherfield Sr.</t>
  </si>
  <si>
    <t>Mason Kinsey</t>
  </si>
  <si>
    <t>Ashton Dulin</t>
  </si>
  <si>
    <t>Anthony Gould</t>
  </si>
  <si>
    <t>Ja'Tavion Sanders</t>
  </si>
  <si>
    <t xml:space="preserve">49ers </t>
  </si>
  <si>
    <t>Taysom Hill</t>
  </si>
  <si>
    <t xml:space="preserve">Ravens </t>
  </si>
  <si>
    <t>Mitchell Evans</t>
  </si>
  <si>
    <t>Dawson Knox</t>
  </si>
  <si>
    <t>Austin Hooper</t>
  </si>
  <si>
    <t>Tommy Tremble</t>
  </si>
  <si>
    <t xml:space="preserve">Bengals </t>
  </si>
  <si>
    <t>Daniel Bellinger</t>
  </si>
  <si>
    <t>Tanner Conner</t>
  </si>
  <si>
    <t>Isaiah Likely</t>
  </si>
  <si>
    <t xml:space="preserve">Bears </t>
  </si>
  <si>
    <t>Nate Adkins</t>
  </si>
  <si>
    <t>Charlie Woerner</t>
  </si>
  <si>
    <t>Teagan Quitoriano</t>
  </si>
  <si>
    <t>Feleipe Franks</t>
  </si>
  <si>
    <t>Greg Dulcich</t>
  </si>
  <si>
    <t>Durham Smythe</t>
  </si>
  <si>
    <t>Stephen Carlson</t>
  </si>
  <si>
    <t>Charlie Kolar</t>
  </si>
  <si>
    <t>Zaire Mitchell-Paden</t>
  </si>
  <si>
    <t>Jackson Hawes</t>
  </si>
  <si>
    <t>Drew Sample</t>
  </si>
  <si>
    <t>Tanner Hudson</t>
  </si>
  <si>
    <t>Jeremy Ruckert</t>
  </si>
  <si>
    <t>Harrison Bryant</t>
  </si>
  <si>
    <t>Luke Farrell</t>
  </si>
  <si>
    <t>Blake Whiteheart</t>
  </si>
  <si>
    <t xml:space="preserve">Browns </t>
  </si>
  <si>
    <t>Chris Manhertz</t>
  </si>
  <si>
    <t>Thomas Fidone II</t>
  </si>
  <si>
    <t>Grant Calcaterra</t>
  </si>
  <si>
    <t>Kylen Granson</t>
  </si>
  <si>
    <t>Cameron Latu</t>
  </si>
  <si>
    <t>Foster Moreau</t>
  </si>
  <si>
    <t>Jack Stoll</t>
  </si>
  <si>
    <t>Payne Durham</t>
  </si>
  <si>
    <t>Devin Culp</t>
  </si>
  <si>
    <t>Luke Schoonmaker</t>
  </si>
  <si>
    <t>Brevyn Spann-Ford</t>
  </si>
  <si>
    <t>Adam Trautman</t>
  </si>
  <si>
    <t>David Martin-Robinson</t>
  </si>
  <si>
    <t>Mo Alie-Cox</t>
  </si>
  <si>
    <t>Drew Ogletree</t>
  </si>
  <si>
    <t xml:space="preserve">Cowboys </t>
  </si>
  <si>
    <t xml:space="preserve">Jets </t>
  </si>
  <si>
    <t xml:space="preserve">Saints </t>
  </si>
  <si>
    <t xml:space="preserve">Dolphins </t>
  </si>
  <si>
    <t xml:space="preserve">Panthers </t>
  </si>
  <si>
    <t xml:space="preserve">Giants </t>
  </si>
  <si>
    <t xml:space="preserve">Titans </t>
  </si>
  <si>
    <t>T</t>
  </si>
  <si>
    <t>S</t>
  </si>
  <si>
    <t>Pos</t>
  </si>
  <si>
    <t>CLE@NE  01:00PM</t>
  </si>
  <si>
    <t>MIA@ATL  01:00PM</t>
  </si>
  <si>
    <t>BUF@CAR  01:00PM</t>
  </si>
  <si>
    <t>NYG@PHI  01:00PM</t>
  </si>
  <si>
    <t>SF@HOU  01:00PM</t>
  </si>
  <si>
    <t>CHI@BAL  01:00PM</t>
  </si>
  <si>
    <t>NYJ@CIN  01:00PM</t>
  </si>
  <si>
    <t>TB@NO  04:05PM</t>
  </si>
  <si>
    <t>TEN@IND  04:25PM</t>
  </si>
  <si>
    <t>DAL@DEN  04:25PM</t>
  </si>
  <si>
    <t>GID</t>
  </si>
  <si>
    <t>Own</t>
  </si>
  <si>
    <t>Flr</t>
  </si>
  <si>
    <t>Proj</t>
  </si>
  <si>
    <t>3.5X</t>
  </si>
  <si>
    <t>Ceil</t>
  </si>
  <si>
    <t>ITT</t>
  </si>
  <si>
    <t>Pl</t>
  </si>
  <si>
    <t>Notes</t>
  </si>
  <si>
    <t>@IND</t>
  </si>
  <si>
    <t>@PHI</t>
  </si>
  <si>
    <t>@ATL</t>
  </si>
  <si>
    <t>@CIN</t>
  </si>
  <si>
    <t>@DEN</t>
  </si>
  <si>
    <t>@NE</t>
  </si>
  <si>
    <t>@NO</t>
  </si>
  <si>
    <t>@HOU</t>
  </si>
  <si>
    <t>@BAL</t>
  </si>
  <si>
    <t>@CAR</t>
  </si>
  <si>
    <t>Large Field</t>
  </si>
  <si>
    <t>DK Value</t>
  </si>
  <si>
    <t>DK Ceiling</t>
  </si>
  <si>
    <t>DK Proj</t>
  </si>
  <si>
    <t>DK Floor</t>
  </si>
  <si>
    <t>DK Salary</t>
  </si>
  <si>
    <t>Opp</t>
  </si>
  <si>
    <t>Team</t>
  </si>
  <si>
    <t>DK Pos</t>
  </si>
  <si>
    <t>Player</t>
  </si>
  <si>
    <t>id</t>
  </si>
  <si>
    <t>Indianapolis Colts</t>
  </si>
  <si>
    <t>Tennessee Titans</t>
  </si>
  <si>
    <t>Kansas City Chiefs</t>
  </si>
  <si>
    <t>Washington Commanders</t>
  </si>
  <si>
    <t>Baltimore Ravens</t>
  </si>
  <si>
    <t>Chicago Bears</t>
  </si>
  <si>
    <t>Buffalo Bills</t>
  </si>
  <si>
    <t>Carolina Panthers</t>
  </si>
  <si>
    <t>Denver Broncos</t>
  </si>
  <si>
    <t>Dallas Cowboys</t>
  </si>
  <si>
    <t>Atlanta Falcons</t>
  </si>
  <si>
    <t>Miami Dolphins</t>
  </si>
  <si>
    <t>Tampa Bay Buccaneers</t>
  </si>
  <si>
    <t>New Orleans Saints</t>
  </si>
  <si>
    <t>Philadelphia Eagles</t>
  </si>
  <si>
    <t>New York Giants</t>
  </si>
  <si>
    <t>Cincinnati Bengals</t>
  </si>
  <si>
    <t>New York Jets</t>
  </si>
  <si>
    <t>Green Bay Packers</t>
  </si>
  <si>
    <t>Pittsburgh Steelers</t>
  </si>
  <si>
    <t>Los Angeles Chargers</t>
  </si>
  <si>
    <t>Minnesota Vikings</t>
  </si>
  <si>
    <t>New England Patriots</t>
  </si>
  <si>
    <t>Cleveland Browns</t>
  </si>
  <si>
    <t>Houston Texans</t>
  </si>
  <si>
    <t>San Francisco 49ers</t>
  </si>
  <si>
    <t>Tm Ab</t>
  </si>
  <si>
    <t>PIT</t>
  </si>
  <si>
    <t>MIN</t>
  </si>
  <si>
    <t>KC</t>
  </si>
  <si>
    <t>GB</t>
  </si>
  <si>
    <t>LAC</t>
  </si>
  <si>
    <t>WAS</t>
  </si>
  <si>
    <t>Rk</t>
  </si>
  <si>
    <t>Spread</t>
  </si>
  <si>
    <t>OU</t>
  </si>
  <si>
    <t>Chalk</t>
  </si>
  <si>
    <t>4.5%? Whuuuuut??</t>
  </si>
  <si>
    <t>Good chalk</t>
  </si>
  <si>
    <t>questionable chalk, is this bcause of the opponent?</t>
  </si>
  <si>
    <t>Megachalk…is this because it's the Jets?</t>
  </si>
  <si>
    <t>questionable chalk, his games w no Bucky: 23.1, 17.6, 8.4. Not exactly ceiling.</t>
  </si>
  <si>
    <t>Hasn't exceeded 15 pts all year and they're still a high pass rate team.</t>
  </si>
  <si>
    <t>Did he lose his starting job to doodoo?</t>
  </si>
  <si>
    <t>Y</t>
  </si>
  <si>
    <t>M</t>
  </si>
  <si>
    <t>Needs 21 touches vs 16 last 2 weeks to get back on track.</t>
  </si>
  <si>
    <t>Questionable, either him or Shakir would be natural stacking partners</t>
  </si>
  <si>
    <t>Only in Allen stacks</t>
  </si>
  <si>
    <t>Very hard to find a stack partner that exceeds 15 pts</t>
  </si>
  <si>
    <t xml:space="preserve">The matchup is great on paper, but my concern is it's almost an even split </t>
  </si>
  <si>
    <t>Good if he stays under 10%</t>
  </si>
  <si>
    <t>Questionable, would be interested except Monangai snaps are increasing</t>
  </si>
  <si>
    <t>Prefer the discount vs Chase</t>
  </si>
  <si>
    <t>He's the only one on this team that interests me and I feel like I'm chasing.</t>
  </si>
  <si>
    <t>2.5%? Whuuuuut??</t>
  </si>
  <si>
    <t>Avgs 16 touches vs the 2nd worst run D over the last 4 weeks</t>
  </si>
  <si>
    <t>I like him over Mims</t>
  </si>
  <si>
    <t>If his ownership stays around 10.</t>
  </si>
  <si>
    <t>Ridiculous chalk, is this due to Nico and Kirk being out?</t>
  </si>
  <si>
    <t>Feels like he has a firm ceiling at 20 and I worry about his wonership going higher</t>
  </si>
  <si>
    <t>Don’t know if I'll get there to him this week</t>
  </si>
  <si>
    <t>Wish his ownership was lower</t>
  </si>
  <si>
    <t>One</t>
  </si>
  <si>
    <t>Keeps randomly showing up in the end zone, one share w Maye</t>
  </si>
  <si>
    <t>Would do more of him but he's another I'm concerned about his ownership</t>
  </si>
  <si>
    <t>Has a floor but I think his aDoT has fallen off this year</t>
  </si>
  <si>
    <t>Gets the workload but the matchup isn't good</t>
  </si>
  <si>
    <t>I'll keep him in the pool considering they're gonna have to do something to keep up</t>
  </si>
  <si>
    <t>If he didn't suck, the RB room is interesting w Miller out and Velus Jones waived</t>
  </si>
  <si>
    <t>Makes the pool because of his price</t>
  </si>
  <si>
    <t>He hit last week but it feels like that's such a rare ceiling game.</t>
  </si>
  <si>
    <t>I think he does enough on his own, haven't figured out who to stack him with</t>
  </si>
  <si>
    <t>Megachalk wih AJB out</t>
  </si>
  <si>
    <t>Don't know that I can play him with his two primary guys chalky</t>
  </si>
  <si>
    <t>Will likely play him and Kittle together</t>
  </si>
  <si>
    <t>Hoping this ownership stays around 10%</t>
  </si>
  <si>
    <t>If I thought there was a chance he'd get 25 pts I'd play him, feels like CMC game</t>
  </si>
  <si>
    <t>Ooga chaka ooga ooga ooga chaka…I like him but ill be under 16% exposure</t>
  </si>
  <si>
    <t>There's a thought they may get him involved given no Kendre Miller.</t>
  </si>
  <si>
    <t>Looking like a solid leverage play vs Chase, people scared of Den</t>
  </si>
  <si>
    <t>I can't believe he managed to break 20 pts last week, alternate reality</t>
  </si>
  <si>
    <t>Sources say Fields is going to start, they haven't updated his projection yet</t>
  </si>
  <si>
    <t>Lev</t>
  </si>
  <si>
    <t>In Dart stacks</t>
  </si>
  <si>
    <t>He's cleared 20 three times this season but his price is steep now</t>
  </si>
  <si>
    <t>Going back to him again as a pivot from the passing game chalk</t>
  </si>
  <si>
    <t>Needs to get back on track, changes to a Y if he stays at 7%</t>
  </si>
  <si>
    <t>Wasn't listed on the injury report but he's dealing with multiple issues</t>
  </si>
  <si>
    <t>Lev?</t>
  </si>
  <si>
    <t>Can be cheap volume but I think this game is getting more attention.</t>
  </si>
  <si>
    <t>He's a Maybe because this team sucks, but Indy giving up most yards pass L4.</t>
  </si>
  <si>
    <t>Khalil Herbert</t>
  </si>
  <si>
    <t>Isaiah Williams</t>
  </si>
  <si>
    <t>Brandon Smith</t>
  </si>
  <si>
    <t>Hayden Rucci</t>
  </si>
  <si>
    <t>Dylan Drummond</t>
  </si>
  <si>
    <t>Jared Wayne</t>
  </si>
  <si>
    <t>C</t>
  </si>
  <si>
    <t>BC</t>
  </si>
  <si>
    <t>Sal</t>
  </si>
  <si>
    <t>Tm</t>
  </si>
  <si>
    <t>One off cracks</t>
  </si>
  <si>
    <t>Backs</t>
  </si>
  <si>
    <t>Stacks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</si>
</sst>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10" fontId="0" fillId="0" borderId="0" xfId="0" applyNumberFormat="1"/>
    <xf numFmtId="6" fontId="0" fillId="0" borderId="0" xfId="0" applyNumberFormat="1"/>
    <xf numFmtId="0" fontId="16" fillId="0" borderId="10" xfId="0" applyFont="1" applyBorder="1"/>
    <xf numFmtId="10" fontId="16" fillId="0" borderId="10" xfId="0" applyNumberFormat="1" applyFont="1" applyBorder="1"/>
    <xf numFmtId="0" fontId="0" fillId="34" borderId="0" xfId="0" applyFill="1"/>
    <xf numFmtId="164" fontId="0" fillId="0" borderId="0" xfId="0" applyNumberFormat="1"/>
    <xf numFmtId="0" fontId="18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4" formatCode="0.0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C19B4E-DFAF-4D4A-A5C3-0DE036DD0B11}" name="Table1" displayName="Table1" ref="A2:O175" totalsRowShown="0" headerRowDxfId="2" headerRowBorderDxfId="1">
  <tableColumns count="15">
    <tableColumn id="1" xr3:uid="{B1E068D4-60DB-411C-921F-E287D37B73FD}" name="ID"/>
    <tableColumn id="2" xr3:uid="{7CA6EE6D-0B7E-443B-8690-2D2619231F5E}" name="Pos"/>
    <tableColumn id="3" xr3:uid="{E02D4F97-5316-448F-8688-1081BD4FCCE0}" name="Name"/>
    <tableColumn id="4" xr3:uid="{F35B57F5-6E8B-4B59-969E-EC144094D37E}" name="T"/>
    <tableColumn id="5" xr3:uid="{B2678B87-8A68-4F4B-88D3-C9B1B2A50226}" name="S"/>
    <tableColumn id="6" xr3:uid="{A04DB0A4-325C-4BC1-9B08-FE96B82371FC}" name="Game Info"/>
    <tableColumn id="7" xr3:uid="{706EC079-28B6-4467-B855-E4E9098261E1}" name="GID"/>
    <tableColumn id="8" xr3:uid="{C3F9AF44-F5F6-48C7-9D81-C2756F816CE0}" name="Own" dataDxfId="0">
      <calculatedColumnFormula>VLOOKUP(A3, ETR!A:K, 11, FALSE)</calculatedColumnFormula>
    </tableColumn>
    <tableColumn id="9" xr3:uid="{D18235C4-503C-4D7B-9286-19E88B6B159D}" name="Flr">
      <calculatedColumnFormula>VLOOKUP(A3, ETR!A:K, 7, FALSE)</calculatedColumnFormula>
    </tableColumn>
    <tableColumn id="10" xr3:uid="{C9B6A117-93DC-4EEA-BB21-373ACE69DE22}" name="Proj">
      <calculatedColumnFormula>VLOOKUP(A3, ETR!A:K, 8, FALSE)</calculatedColumnFormula>
    </tableColumn>
    <tableColumn id="11" xr3:uid="{0E70BF60-8A78-4E23-9A24-0D64B2150D45}" name="3.5X">
      <calculatedColumnFormula>(E3/1000)*3.5</calculatedColumnFormula>
    </tableColumn>
    <tableColumn id="12" xr3:uid="{2DDD39EE-4336-4640-BF07-516892F69758}" name="Ceil">
      <calculatedColumnFormula>VLOOKUP(A3, ETR!A:K, 9, FALSE)</calculatedColumnFormula>
    </tableColumn>
    <tableColumn id="13" xr3:uid="{5EE1E294-3A7B-4EE0-9E17-37D11050A1EA}" name="ITT">
      <calculatedColumnFormula>VLOOKUP(D3,ITT!A:D,4,FALSE)</calculatedColumnFormula>
    </tableColumn>
    <tableColumn id="14" xr3:uid="{6E2F16E8-FD98-4840-9DAF-2BBC31782A5C}" name="Pl"/>
    <tableColumn id="15" xr3:uid="{121454B1-ADE9-4D61-B5C5-F825543277AB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112A7-8960-4A8C-9820-A0EA0F2FBC17}">
  <dimension ref="A1:O175"/>
  <sheetViews>
    <sheetView workbookViewId="0">
      <selection activeCell="N2" sqref="N2"/>
    </sheetView>
  </sheetViews>
  <sheetFormatPr defaultRowHeight="15" x14ac:dyDescent="0.25"/>
  <cols>
    <col min="1" max="1" width="9" bestFit="1" customWidth="1"/>
    <col min="2" max="2" width="6.42578125" customWidth="1"/>
    <col min="3" max="3" width="21.85546875" bestFit="1" customWidth="1"/>
    <col min="4" max="5" width="5" bestFit="1" customWidth="1"/>
    <col min="6" max="6" width="18.140625" bestFit="1" customWidth="1"/>
    <col min="7" max="7" width="6.5703125" customWidth="1"/>
    <col min="8" max="8" width="7.140625" style="2" bestFit="1" customWidth="1"/>
    <col min="9" max="9" width="5.42578125" customWidth="1"/>
    <col min="10" max="10" width="9.140625" bestFit="1" customWidth="1"/>
    <col min="11" max="11" width="7.140625" customWidth="1"/>
    <col min="12" max="12" width="7.28515625" customWidth="1"/>
    <col min="13" max="13" width="6.5703125" customWidth="1"/>
    <col min="14" max="14" width="4.85546875" customWidth="1"/>
    <col min="15" max="15" width="71.140625" customWidth="1"/>
  </cols>
  <sheetData>
    <row r="1" spans="1:15" x14ac:dyDescent="0.25">
      <c r="H1" s="2">
        <f>SUBTOTAL(101,H3:H175)</f>
        <v>5.1884393063583792E-2</v>
      </c>
      <c r="J1" s="7">
        <f>SUBTOTAL(101,J3:J175)</f>
        <v>9.9612716763005746</v>
      </c>
      <c r="L1" s="7">
        <f>SUBTOTAL(101,L3:L175)</f>
        <v>18.73699421965317</v>
      </c>
    </row>
    <row r="2" spans="1:15" x14ac:dyDescent="0.25">
      <c r="A2" s="4" t="s">
        <v>1</v>
      </c>
      <c r="B2" s="4" t="s">
        <v>291</v>
      </c>
      <c r="C2" s="4" t="s">
        <v>0</v>
      </c>
      <c r="D2" s="4" t="s">
        <v>289</v>
      </c>
      <c r="E2" s="4" t="s">
        <v>290</v>
      </c>
      <c r="F2" s="4" t="s">
        <v>2</v>
      </c>
      <c r="G2" s="4" t="s">
        <v>302</v>
      </c>
      <c r="H2" s="5" t="s">
        <v>303</v>
      </c>
      <c r="I2" s="4" t="s">
        <v>304</v>
      </c>
      <c r="J2" s="4" t="s">
        <v>305</v>
      </c>
      <c r="K2" s="4" t="s">
        <v>306</v>
      </c>
      <c r="L2" s="4" t="s">
        <v>307</v>
      </c>
      <c r="M2" s="4" t="s">
        <v>308</v>
      </c>
      <c r="N2" s="4" t="s">
        <v>309</v>
      </c>
      <c r="O2" s="4" t="s">
        <v>310</v>
      </c>
    </row>
    <row r="3" spans="1:15" x14ac:dyDescent="0.25">
      <c r="A3">
        <v>40470870</v>
      </c>
      <c r="B3" t="s">
        <v>162</v>
      </c>
      <c r="C3" t="s">
        <v>163</v>
      </c>
      <c r="D3" t="s">
        <v>5</v>
      </c>
      <c r="E3">
        <v>3800</v>
      </c>
      <c r="F3" t="s">
        <v>300</v>
      </c>
      <c r="G3">
        <v>10</v>
      </c>
      <c r="H3" s="2">
        <f>VLOOKUP(A3, ETR!A:K, 11, FALSE)</f>
        <v>0.112</v>
      </c>
      <c r="I3">
        <f>VLOOKUP(A3, ETR!A:K, 7, FALSE)</f>
        <v>3.6</v>
      </c>
      <c r="J3">
        <f>VLOOKUP(A3, ETR!A:K, 8, FALSE)</f>
        <v>10.199999999999999</v>
      </c>
      <c r="L3">
        <f>VLOOKUP(A3, ETR!A:K, 9, FALSE)</f>
        <v>18.100000000000001</v>
      </c>
      <c r="M3">
        <f>VLOOKUP(D3,ITT!A:D,4,FALSE)</f>
        <v>30.5</v>
      </c>
    </row>
    <row r="4" spans="1:15" x14ac:dyDescent="0.25">
      <c r="A4">
        <v>40470871</v>
      </c>
      <c r="B4" t="s">
        <v>162</v>
      </c>
      <c r="C4" t="s">
        <v>170</v>
      </c>
      <c r="D4" t="s">
        <v>43</v>
      </c>
      <c r="E4">
        <v>3600</v>
      </c>
      <c r="F4" t="s">
        <v>292</v>
      </c>
      <c r="G4">
        <v>3</v>
      </c>
      <c r="H4" s="2">
        <f>VLOOKUP(A4, ETR!A:K, 11, FALSE)</f>
        <v>5.6000000000000001E-2</v>
      </c>
      <c r="I4">
        <f>VLOOKUP(A4, ETR!A:K, 7, FALSE)</f>
        <v>2.5</v>
      </c>
      <c r="J4">
        <f>VLOOKUP(A4, ETR!A:K, 8, FALSE)</f>
        <v>8.6999999999999993</v>
      </c>
      <c r="L4">
        <f>VLOOKUP(A4, ETR!A:K, 9, FALSE)</f>
        <v>16.3</v>
      </c>
      <c r="M4">
        <f>VLOOKUP(D4,ITT!A:D,4,FALSE)</f>
        <v>23.75</v>
      </c>
    </row>
    <row r="5" spans="1:15" x14ac:dyDescent="0.25">
      <c r="A5">
        <v>40470872</v>
      </c>
      <c r="B5" t="s">
        <v>162</v>
      </c>
      <c r="C5" t="s">
        <v>172</v>
      </c>
      <c r="D5" t="s">
        <v>9</v>
      </c>
      <c r="E5">
        <v>3500</v>
      </c>
      <c r="F5" t="s">
        <v>293</v>
      </c>
      <c r="G5">
        <v>4</v>
      </c>
      <c r="H5" s="2">
        <f>VLOOKUP(A5, ETR!A:K, 11, FALSE)</f>
        <v>3.5000000000000003E-2</v>
      </c>
      <c r="I5">
        <f>VLOOKUP(A5, ETR!A:K, 7, FALSE)</f>
        <v>1.5</v>
      </c>
      <c r="J5">
        <f>VLOOKUP(A5, ETR!A:K, 8, FALSE)</f>
        <v>7.3</v>
      </c>
      <c r="L5">
        <f>VLOOKUP(A5, ETR!A:K, 9, FALSE)</f>
        <v>14.5</v>
      </c>
      <c r="M5">
        <f>VLOOKUP(D5,ITT!A:D,4,FALSE)</f>
        <v>25.75</v>
      </c>
    </row>
    <row r="6" spans="1:15" x14ac:dyDescent="0.25">
      <c r="A6">
        <v>40470873</v>
      </c>
      <c r="B6" t="s">
        <v>162</v>
      </c>
      <c r="C6" t="s">
        <v>180</v>
      </c>
      <c r="D6" t="s">
        <v>25</v>
      </c>
      <c r="E6">
        <v>3400</v>
      </c>
      <c r="F6" t="s">
        <v>299</v>
      </c>
      <c r="G6">
        <v>8</v>
      </c>
      <c r="H6" s="2">
        <f>VLOOKUP(A6, ETR!A:K, 11, FALSE)</f>
        <v>2.8000000000000001E-2</v>
      </c>
      <c r="I6">
        <f>VLOOKUP(A6, ETR!A:K, 7, FALSE)</f>
        <v>1.2</v>
      </c>
      <c r="J6">
        <f>VLOOKUP(A6, ETR!A:K, 8, FALSE)</f>
        <v>7.1</v>
      </c>
      <c r="L6">
        <f>VLOOKUP(A6, ETR!A:K, 9, FALSE)</f>
        <v>14.4</v>
      </c>
      <c r="M6">
        <f>VLOOKUP(D6,ITT!A:D,4,FALSE)</f>
        <v>25.5</v>
      </c>
    </row>
    <row r="7" spans="1:15" x14ac:dyDescent="0.25">
      <c r="A7">
        <v>40470874</v>
      </c>
      <c r="B7" t="s">
        <v>162</v>
      </c>
      <c r="C7" t="s">
        <v>184</v>
      </c>
      <c r="D7" t="s">
        <v>19</v>
      </c>
      <c r="E7">
        <v>3300</v>
      </c>
      <c r="F7" t="s">
        <v>294</v>
      </c>
      <c r="G7">
        <v>1</v>
      </c>
      <c r="H7" s="2">
        <f>VLOOKUP(A7, ETR!A:K, 11, FALSE)</f>
        <v>4.2000000000000003E-2</v>
      </c>
      <c r="I7">
        <f>VLOOKUP(A7, ETR!A:K, 7, FALSE)</f>
        <v>1.2</v>
      </c>
      <c r="J7">
        <f>VLOOKUP(A7, ETR!A:K, 8, FALSE)</f>
        <v>7.1</v>
      </c>
      <c r="L7">
        <f>VLOOKUP(A7, ETR!A:K, 9, FALSE)</f>
        <v>14.3</v>
      </c>
      <c r="M7">
        <f>VLOOKUP(D7,ITT!A:D,4,FALSE)</f>
        <v>27</v>
      </c>
    </row>
    <row r="8" spans="1:15" x14ac:dyDescent="0.25">
      <c r="A8">
        <v>40470875</v>
      </c>
      <c r="B8" t="s">
        <v>162</v>
      </c>
      <c r="C8" t="s">
        <v>196</v>
      </c>
      <c r="D8" t="s">
        <v>16</v>
      </c>
      <c r="E8">
        <v>3200</v>
      </c>
      <c r="F8" t="s">
        <v>295</v>
      </c>
      <c r="G8">
        <v>5</v>
      </c>
      <c r="H8" s="2">
        <f>VLOOKUP(A8, ETR!A:K, 11, FALSE)</f>
        <v>0.10199999999999999</v>
      </c>
      <c r="I8">
        <f>VLOOKUP(A8, ETR!A:K, 7, FALSE)</f>
        <v>2.1</v>
      </c>
      <c r="J8">
        <f>VLOOKUP(A8, ETR!A:K, 8, FALSE)</f>
        <v>8.4</v>
      </c>
      <c r="L8">
        <f>VLOOKUP(A8, ETR!A:K, 9, FALSE)</f>
        <v>16.100000000000001</v>
      </c>
      <c r="M8">
        <f>VLOOKUP(D8,ITT!A:D,4,FALSE)</f>
        <v>25.5</v>
      </c>
    </row>
    <row r="9" spans="1:15" x14ac:dyDescent="0.25">
      <c r="A9">
        <v>40470876</v>
      </c>
      <c r="B9" t="s">
        <v>162</v>
      </c>
      <c r="C9" t="s">
        <v>203</v>
      </c>
      <c r="D9" t="s">
        <v>45</v>
      </c>
      <c r="E9">
        <v>3100</v>
      </c>
      <c r="F9" t="s">
        <v>301</v>
      </c>
      <c r="G9">
        <v>9</v>
      </c>
      <c r="H9" s="2">
        <f>VLOOKUP(A9, ETR!A:K, 11, FALSE)</f>
        <v>3.4000000000000002E-2</v>
      </c>
      <c r="I9">
        <f>VLOOKUP(A9, ETR!A:K, 7, FALSE)</f>
        <v>0</v>
      </c>
      <c r="J9">
        <f>VLOOKUP(A9, ETR!A:K, 8, FALSE)</f>
        <v>5.7</v>
      </c>
      <c r="L9">
        <f>VLOOKUP(A9, ETR!A:K, 9, FALSE)</f>
        <v>12.7</v>
      </c>
      <c r="M9">
        <f>VLOOKUP(D9,ITT!A:D,4,FALSE)</f>
        <v>27</v>
      </c>
    </row>
    <row r="10" spans="1:15" x14ac:dyDescent="0.25">
      <c r="A10">
        <v>40470877</v>
      </c>
      <c r="B10" t="s">
        <v>162</v>
      </c>
      <c r="C10" t="s">
        <v>219</v>
      </c>
      <c r="D10" t="s">
        <v>22</v>
      </c>
      <c r="E10">
        <v>3000</v>
      </c>
      <c r="F10" t="s">
        <v>296</v>
      </c>
      <c r="G10">
        <v>7</v>
      </c>
      <c r="H10" s="2">
        <f>VLOOKUP(A10, ETR!A:K, 11, FALSE)</f>
        <v>5.7000000000000002E-2</v>
      </c>
      <c r="I10">
        <f>VLOOKUP(A10, ETR!A:K, 7, FALSE)</f>
        <v>1</v>
      </c>
      <c r="J10">
        <f>VLOOKUP(A10, ETR!A:K, 8, FALSE)</f>
        <v>6.6</v>
      </c>
      <c r="L10">
        <f>VLOOKUP(A10, ETR!A:K, 9, FALSE)</f>
        <v>13.7</v>
      </c>
      <c r="M10">
        <f>VLOOKUP(D10,ITT!A:D,4,FALSE)</f>
        <v>21.5</v>
      </c>
    </row>
    <row r="11" spans="1:15" x14ac:dyDescent="0.25">
      <c r="A11">
        <v>40470878</v>
      </c>
      <c r="B11" t="s">
        <v>162</v>
      </c>
      <c r="C11" t="s">
        <v>238</v>
      </c>
      <c r="D11" t="s">
        <v>7</v>
      </c>
      <c r="E11">
        <v>2900</v>
      </c>
      <c r="F11" t="s">
        <v>296</v>
      </c>
      <c r="G11">
        <v>7</v>
      </c>
      <c r="H11" s="2">
        <f>VLOOKUP(A11, ETR!A:K, 11, FALSE)</f>
        <v>4.9000000000000002E-2</v>
      </c>
      <c r="I11">
        <f>VLOOKUP(A11, ETR!A:K, 7, FALSE)</f>
        <v>1.1000000000000001</v>
      </c>
      <c r="J11">
        <f>VLOOKUP(A11, ETR!A:K, 8, FALSE)</f>
        <v>7.1</v>
      </c>
      <c r="L11">
        <f>VLOOKUP(A11, ETR!A:K, 9, FALSE)</f>
        <v>14.4</v>
      </c>
      <c r="M11">
        <f>VLOOKUP(D11,ITT!A:D,4,FALSE)</f>
        <v>20</v>
      </c>
    </row>
    <row r="12" spans="1:15" x14ac:dyDescent="0.25">
      <c r="A12">
        <v>40470879</v>
      </c>
      <c r="B12" t="s">
        <v>162</v>
      </c>
      <c r="C12" t="s">
        <v>240</v>
      </c>
      <c r="D12" t="s">
        <v>26</v>
      </c>
      <c r="E12">
        <v>2800</v>
      </c>
      <c r="F12" t="s">
        <v>297</v>
      </c>
      <c r="G12">
        <v>2</v>
      </c>
      <c r="H12" s="2">
        <f>VLOOKUP(A12, ETR!A:K, 11, FALSE)</f>
        <v>5.8000000000000003E-2</v>
      </c>
      <c r="I12">
        <f>VLOOKUP(A12, ETR!A:K, 7, FALSE)</f>
        <v>1</v>
      </c>
      <c r="J12">
        <f>VLOOKUP(A12, ETR!A:K, 8, FALSE)</f>
        <v>6.9</v>
      </c>
      <c r="L12">
        <f>VLOOKUP(A12, ETR!A:K, 9, FALSE)</f>
        <v>14.2</v>
      </c>
      <c r="M12">
        <f>VLOOKUP(D12,ITT!A:D,4,FALSE)</f>
        <v>25</v>
      </c>
    </row>
    <row r="13" spans="1:15" x14ac:dyDescent="0.25">
      <c r="A13">
        <v>40470880</v>
      </c>
      <c r="B13" t="s">
        <v>162</v>
      </c>
      <c r="C13" t="s">
        <v>245</v>
      </c>
      <c r="D13" t="s">
        <v>12</v>
      </c>
      <c r="E13">
        <v>2700</v>
      </c>
      <c r="F13" t="s">
        <v>298</v>
      </c>
      <c r="G13">
        <v>6</v>
      </c>
      <c r="H13" s="2">
        <f>VLOOKUP(A13, ETR!A:K, 11, FALSE)</f>
        <v>0.14199999999999999</v>
      </c>
      <c r="I13">
        <f>VLOOKUP(A13, ETR!A:K, 7, FALSE)</f>
        <v>2</v>
      </c>
      <c r="J13">
        <f>VLOOKUP(A13, ETR!A:K, 8, FALSE)</f>
        <v>7.9</v>
      </c>
      <c r="L13">
        <f>VLOOKUP(A13, ETR!A:K, 9, FALSE)</f>
        <v>15.1</v>
      </c>
      <c r="M13">
        <f>VLOOKUP(D13,ITT!A:D,4,FALSE)</f>
        <v>25.5</v>
      </c>
      <c r="O13" t="s">
        <v>368</v>
      </c>
    </row>
    <row r="14" spans="1:15" x14ac:dyDescent="0.25">
      <c r="A14">
        <v>40470881</v>
      </c>
      <c r="B14" t="s">
        <v>162</v>
      </c>
      <c r="C14" t="s">
        <v>249</v>
      </c>
      <c r="D14" t="s">
        <v>39</v>
      </c>
      <c r="E14">
        <v>2600</v>
      </c>
      <c r="F14" t="s">
        <v>297</v>
      </c>
      <c r="G14">
        <v>2</v>
      </c>
      <c r="H14" s="2">
        <f>VLOOKUP(A14, ETR!A:K, 11, FALSE)</f>
        <v>0.03</v>
      </c>
      <c r="I14">
        <f>VLOOKUP(A14, ETR!A:K, 7, FALSE)</f>
        <v>0.5</v>
      </c>
      <c r="J14">
        <f>VLOOKUP(A14, ETR!A:K, 8, FALSE)</f>
        <v>6.1</v>
      </c>
      <c r="L14">
        <f>VLOOKUP(A14, ETR!A:K, 9, FALSE)</f>
        <v>12.9</v>
      </c>
      <c r="M14">
        <f>VLOOKUP(D14,ITT!A:D,4,FALSE)</f>
        <v>21.5</v>
      </c>
    </row>
    <row r="15" spans="1:15" x14ac:dyDescent="0.25">
      <c r="A15">
        <v>40470882</v>
      </c>
      <c r="B15" t="s">
        <v>162</v>
      </c>
      <c r="C15" t="s">
        <v>266</v>
      </c>
      <c r="D15" t="s">
        <v>33</v>
      </c>
      <c r="E15">
        <v>2500</v>
      </c>
      <c r="F15" t="s">
        <v>292</v>
      </c>
      <c r="G15">
        <v>3</v>
      </c>
      <c r="H15" s="2">
        <f>VLOOKUP(A15, ETR!A:K, 11, FALSE)</f>
        <v>6.5000000000000002E-2</v>
      </c>
      <c r="I15">
        <f>VLOOKUP(A15, ETR!A:K, 7, FALSE)</f>
        <v>0.7</v>
      </c>
      <c r="J15">
        <f>VLOOKUP(A15, ETR!A:K, 8, FALSE)</f>
        <v>6.7</v>
      </c>
      <c r="L15">
        <f>VLOOKUP(A15, ETR!A:K, 9, FALSE)</f>
        <v>13.8</v>
      </c>
      <c r="M15">
        <f>VLOOKUP(D15,ITT!A:D,4,FALSE)</f>
        <v>16.75</v>
      </c>
    </row>
    <row r="16" spans="1:15" x14ac:dyDescent="0.25">
      <c r="A16">
        <v>40470883</v>
      </c>
      <c r="B16" t="s">
        <v>162</v>
      </c>
      <c r="C16" t="s">
        <v>282</v>
      </c>
      <c r="D16" t="s">
        <v>14</v>
      </c>
      <c r="E16">
        <v>2400</v>
      </c>
      <c r="F16" t="s">
        <v>301</v>
      </c>
      <c r="G16">
        <v>9</v>
      </c>
      <c r="H16" s="2">
        <f>VLOOKUP(A16, ETR!A:K, 11, FALSE)</f>
        <v>1.2999999999999999E-2</v>
      </c>
      <c r="I16">
        <f>VLOOKUP(A16, ETR!A:K, 7, FALSE)</f>
        <v>-1.2</v>
      </c>
      <c r="J16">
        <f>VLOOKUP(A16, ETR!A:K, 8, FALSE)</f>
        <v>4.3</v>
      </c>
      <c r="L16">
        <f>VLOOKUP(A16, ETR!A:K, 9, FALSE)</f>
        <v>10.9</v>
      </c>
      <c r="M16">
        <f>VLOOKUP(D16,ITT!A:D,4,FALSE)</f>
        <v>23.5</v>
      </c>
    </row>
    <row r="17" spans="1:15" x14ac:dyDescent="0.25">
      <c r="A17">
        <v>40470885</v>
      </c>
      <c r="B17" t="s">
        <v>162</v>
      </c>
      <c r="C17" t="s">
        <v>283</v>
      </c>
      <c r="D17" t="s">
        <v>47</v>
      </c>
      <c r="E17">
        <v>2300</v>
      </c>
      <c r="F17" t="s">
        <v>298</v>
      </c>
      <c r="G17">
        <v>6</v>
      </c>
      <c r="H17" s="2">
        <f>VLOOKUP(A17, ETR!A:K, 11, FALSE)</f>
        <v>4.1000000000000002E-2</v>
      </c>
      <c r="I17">
        <f>VLOOKUP(A17, ETR!A:K, 7, FALSE)</f>
        <v>-0.2</v>
      </c>
      <c r="J17">
        <f>VLOOKUP(A17, ETR!A:K, 8, FALSE)</f>
        <v>5.4</v>
      </c>
      <c r="L17">
        <f>VLOOKUP(A17, ETR!A:K, 9, FALSE)</f>
        <v>12.3</v>
      </c>
      <c r="M17">
        <f>VLOOKUP(D17,ITT!A:D,4,FALSE)</f>
        <v>19</v>
      </c>
    </row>
    <row r="18" spans="1:15" x14ac:dyDescent="0.25">
      <c r="A18">
        <v>40470884</v>
      </c>
      <c r="B18" t="s">
        <v>162</v>
      </c>
      <c r="C18" t="s">
        <v>284</v>
      </c>
      <c r="D18" t="s">
        <v>57</v>
      </c>
      <c r="E18">
        <v>2300</v>
      </c>
      <c r="F18" t="s">
        <v>299</v>
      </c>
      <c r="G18">
        <v>8</v>
      </c>
      <c r="H18" s="2">
        <f>VLOOKUP(A18, ETR!A:K, 11, FALSE)</f>
        <v>3.7999999999999999E-2</v>
      </c>
      <c r="I18">
        <f>VLOOKUP(A18, ETR!A:K, 7, FALSE)</f>
        <v>-0.6</v>
      </c>
      <c r="J18">
        <f>VLOOKUP(A18, ETR!A:K, 8, FALSE)</f>
        <v>5</v>
      </c>
      <c r="L18">
        <f>VLOOKUP(A18, ETR!A:K, 9, FALSE)</f>
        <v>11.8</v>
      </c>
      <c r="M18">
        <f>VLOOKUP(D18,ITT!A:D,4,FALSE)</f>
        <v>21</v>
      </c>
    </row>
    <row r="19" spans="1:15" x14ac:dyDescent="0.25">
      <c r="A19">
        <v>40470887</v>
      </c>
      <c r="B19" t="s">
        <v>162</v>
      </c>
      <c r="C19" t="s">
        <v>286</v>
      </c>
      <c r="D19" t="s">
        <v>41</v>
      </c>
      <c r="E19">
        <v>2200</v>
      </c>
      <c r="F19" t="s">
        <v>294</v>
      </c>
      <c r="G19">
        <v>1</v>
      </c>
      <c r="H19" s="2">
        <f>VLOOKUP(A19, ETR!A:K, 11, FALSE)</f>
        <v>4.0000000000000001E-3</v>
      </c>
      <c r="I19">
        <f>VLOOKUP(A19, ETR!A:K, 7, FALSE)</f>
        <v>-1.3</v>
      </c>
      <c r="J19">
        <f>VLOOKUP(A19, ETR!A:K, 8, FALSE)</f>
        <v>3.9</v>
      </c>
      <c r="L19">
        <f>VLOOKUP(A19, ETR!A:K, 9, FALSE)</f>
        <v>10.199999999999999</v>
      </c>
      <c r="M19">
        <f>VLOOKUP(D19,ITT!A:D,4,FALSE)</f>
        <v>19.5</v>
      </c>
    </row>
    <row r="20" spans="1:15" x14ac:dyDescent="0.25">
      <c r="A20">
        <v>40470886</v>
      </c>
      <c r="B20" t="s">
        <v>162</v>
      </c>
      <c r="C20" t="s">
        <v>285</v>
      </c>
      <c r="D20" t="s">
        <v>21</v>
      </c>
      <c r="E20">
        <v>2200</v>
      </c>
      <c r="F20" t="s">
        <v>293</v>
      </c>
      <c r="G20">
        <v>4</v>
      </c>
      <c r="H20" s="2">
        <f>VLOOKUP(A20, ETR!A:K, 11, FALSE)</f>
        <v>2.1000000000000001E-2</v>
      </c>
      <c r="I20">
        <f>VLOOKUP(A20, ETR!A:K, 7, FALSE)</f>
        <v>-0.6</v>
      </c>
      <c r="J20">
        <f>VLOOKUP(A20, ETR!A:K, 8, FALSE)</f>
        <v>4.8</v>
      </c>
      <c r="L20">
        <f>VLOOKUP(A20, ETR!A:K, 9, FALSE)</f>
        <v>11.3</v>
      </c>
      <c r="M20">
        <f>VLOOKUP(D20,ITT!A:D,4,FALSE)</f>
        <v>18.75</v>
      </c>
    </row>
    <row r="21" spans="1:15" x14ac:dyDescent="0.25">
      <c r="A21">
        <v>40470888</v>
      </c>
      <c r="B21" t="s">
        <v>162</v>
      </c>
      <c r="C21" t="s">
        <v>287</v>
      </c>
      <c r="D21" t="s">
        <v>31</v>
      </c>
      <c r="E21">
        <v>2100</v>
      </c>
      <c r="F21" t="s">
        <v>295</v>
      </c>
      <c r="G21">
        <v>5</v>
      </c>
      <c r="H21" s="2">
        <f>VLOOKUP(A21, ETR!A:K, 11, FALSE)</f>
        <v>6.8000000000000005E-2</v>
      </c>
      <c r="I21">
        <f>VLOOKUP(A21, ETR!A:K, 7, FALSE)</f>
        <v>0</v>
      </c>
      <c r="J21">
        <f>VLOOKUP(A21, ETR!A:K, 8, FALSE)</f>
        <v>5.7</v>
      </c>
      <c r="L21">
        <f>VLOOKUP(A21, ETR!A:K, 9, FALSE)</f>
        <v>12.5</v>
      </c>
      <c r="M21">
        <f>VLOOKUP(D21,ITT!A:D,4,FALSE)</f>
        <v>18</v>
      </c>
    </row>
    <row r="22" spans="1:15" x14ac:dyDescent="0.25">
      <c r="A22">
        <v>40470889</v>
      </c>
      <c r="B22" t="s">
        <v>162</v>
      </c>
      <c r="C22" t="s">
        <v>288</v>
      </c>
      <c r="D22" t="s">
        <v>76</v>
      </c>
      <c r="E22">
        <v>2000</v>
      </c>
      <c r="F22" t="s">
        <v>300</v>
      </c>
      <c r="G22">
        <v>10</v>
      </c>
      <c r="H22" s="2">
        <f>VLOOKUP(A22, ETR!A:K, 11, FALSE)</f>
        <v>7.0000000000000001E-3</v>
      </c>
      <c r="I22">
        <f>VLOOKUP(A22, ETR!A:K, 7, FALSE)</f>
        <v>-2.1</v>
      </c>
      <c r="J22">
        <f>VLOOKUP(A22, ETR!A:K, 8, FALSE)</f>
        <v>3.1</v>
      </c>
      <c r="L22">
        <f>VLOOKUP(A22, ETR!A:K, 9, FALSE)</f>
        <v>9.4</v>
      </c>
      <c r="M22">
        <f>VLOOKUP(D22,ITT!A:D,4,FALSE)</f>
        <v>16</v>
      </c>
    </row>
    <row r="23" spans="1:15" x14ac:dyDescent="0.25">
      <c r="A23">
        <v>40469963</v>
      </c>
      <c r="B23" t="s">
        <v>17</v>
      </c>
      <c r="C23" t="s">
        <v>18</v>
      </c>
      <c r="D23" t="s">
        <v>19</v>
      </c>
      <c r="E23">
        <v>7500</v>
      </c>
      <c r="F23" t="s">
        <v>294</v>
      </c>
      <c r="G23">
        <v>1</v>
      </c>
      <c r="H23" s="2">
        <f>VLOOKUP(A23, ETR!A:K, 11, FALSE)</f>
        <v>5.1999999999999998E-2</v>
      </c>
      <c r="I23">
        <f>VLOOKUP(A23, ETR!A:K, 7, FALSE)</f>
        <v>12.3</v>
      </c>
      <c r="J23">
        <f>VLOOKUP(A23, ETR!A:K, 8, FALSE)</f>
        <v>22.3</v>
      </c>
      <c r="L23">
        <f>VLOOKUP(A23, ETR!A:K, 9, FALSE)</f>
        <v>33.700000000000003</v>
      </c>
      <c r="M23">
        <f>VLOOKUP(D23,ITT!A:D,4,FALSE)</f>
        <v>27</v>
      </c>
      <c r="N23" t="s">
        <v>376</v>
      </c>
      <c r="O23" t="s">
        <v>381</v>
      </c>
    </row>
    <row r="24" spans="1:15" x14ac:dyDescent="0.25">
      <c r="A24">
        <v>40469965</v>
      </c>
      <c r="B24" t="s">
        <v>17</v>
      </c>
      <c r="C24" t="s">
        <v>29</v>
      </c>
      <c r="D24" t="s">
        <v>16</v>
      </c>
      <c r="E24">
        <v>6600</v>
      </c>
      <c r="F24" t="s">
        <v>295</v>
      </c>
      <c r="G24">
        <v>5</v>
      </c>
      <c r="H24" s="2">
        <f>VLOOKUP(A24, ETR!A:K, 11, FALSE)</f>
        <v>0.121</v>
      </c>
      <c r="I24">
        <f>VLOOKUP(A24, ETR!A:K, 7, FALSE)</f>
        <v>11.1</v>
      </c>
      <c r="J24">
        <f>VLOOKUP(A24, ETR!A:K, 8, FALSE)</f>
        <v>20.7</v>
      </c>
      <c r="L24">
        <f>VLOOKUP(A24, ETR!A:K, 9, FALSE)</f>
        <v>31.6</v>
      </c>
      <c r="M24">
        <f>VLOOKUP(D24,ITT!A:D,4,FALSE)</f>
        <v>25.5</v>
      </c>
      <c r="O24" t="s">
        <v>406</v>
      </c>
    </row>
    <row r="25" spans="1:15" x14ac:dyDescent="0.25">
      <c r="A25">
        <v>40469966</v>
      </c>
      <c r="B25" t="s">
        <v>17</v>
      </c>
      <c r="C25" t="s">
        <v>34</v>
      </c>
      <c r="D25" t="s">
        <v>14</v>
      </c>
      <c r="E25">
        <v>6500</v>
      </c>
      <c r="F25" t="s">
        <v>301</v>
      </c>
      <c r="G25">
        <v>9</v>
      </c>
      <c r="H25" s="2">
        <f>VLOOKUP(A25, ETR!A:K, 11, FALSE)</f>
        <v>2.9000000000000001E-2</v>
      </c>
      <c r="I25">
        <f>VLOOKUP(A25, ETR!A:K, 7, FALSE)</f>
        <v>9.9</v>
      </c>
      <c r="J25">
        <f>VLOOKUP(A25, ETR!A:K, 8, FALSE)</f>
        <v>19</v>
      </c>
      <c r="L25">
        <f>VLOOKUP(A25, ETR!A:K, 9, FALSE)</f>
        <v>29.5</v>
      </c>
      <c r="M25">
        <f>VLOOKUP(D25,ITT!A:D,4,FALSE)</f>
        <v>23.5</v>
      </c>
      <c r="N25" t="s">
        <v>376</v>
      </c>
      <c r="O25" t="s">
        <v>387</v>
      </c>
    </row>
    <row r="26" spans="1:15" x14ac:dyDescent="0.25">
      <c r="A26">
        <v>40469967</v>
      </c>
      <c r="B26" t="s">
        <v>17</v>
      </c>
      <c r="C26" t="s">
        <v>36</v>
      </c>
      <c r="D26" t="s">
        <v>25</v>
      </c>
      <c r="E26">
        <v>6400</v>
      </c>
      <c r="F26" t="s">
        <v>299</v>
      </c>
      <c r="G26">
        <v>8</v>
      </c>
      <c r="H26" s="2">
        <f>VLOOKUP(A26, ETR!A:K, 11, FALSE)</f>
        <v>9.4E-2</v>
      </c>
      <c r="I26">
        <f>VLOOKUP(A26, ETR!A:K, 7, FALSE)</f>
        <v>11.2</v>
      </c>
      <c r="J26">
        <f>VLOOKUP(A26, ETR!A:K, 8, FALSE)</f>
        <v>20.6</v>
      </c>
      <c r="L26">
        <f>VLOOKUP(A26, ETR!A:K, 9, FALSE)</f>
        <v>31.7</v>
      </c>
      <c r="M26">
        <f>VLOOKUP(D26,ITT!A:D,4,FALSE)</f>
        <v>25.5</v>
      </c>
      <c r="N26" t="s">
        <v>376</v>
      </c>
    </row>
    <row r="27" spans="1:15" x14ac:dyDescent="0.25">
      <c r="A27">
        <v>40469968</v>
      </c>
      <c r="B27" t="s">
        <v>17</v>
      </c>
      <c r="C27" t="s">
        <v>42</v>
      </c>
      <c r="D27" t="s">
        <v>43</v>
      </c>
      <c r="E27">
        <v>6200</v>
      </c>
      <c r="F27" t="s">
        <v>292</v>
      </c>
      <c r="G27">
        <v>3</v>
      </c>
      <c r="H27" s="2">
        <f>VLOOKUP(A27, ETR!A:K, 11, FALSE)</f>
        <v>4.7E-2</v>
      </c>
      <c r="I27">
        <f>VLOOKUP(A27, ETR!A:K, 7, FALSE)</f>
        <v>10.6</v>
      </c>
      <c r="J27">
        <f>VLOOKUP(A27, ETR!A:K, 8, FALSE)</f>
        <v>19.7</v>
      </c>
      <c r="L27">
        <f>VLOOKUP(A27, ETR!A:K, 9, FALSE)</f>
        <v>30.1</v>
      </c>
      <c r="M27">
        <f>VLOOKUP(D27,ITT!A:D,4,FALSE)</f>
        <v>23.75</v>
      </c>
      <c r="N27" t="s">
        <v>376</v>
      </c>
      <c r="O27" t="s">
        <v>369</v>
      </c>
    </row>
    <row r="28" spans="1:15" x14ac:dyDescent="0.25">
      <c r="A28">
        <v>40469969</v>
      </c>
      <c r="B28" t="s">
        <v>17</v>
      </c>
      <c r="C28" t="s">
        <v>48</v>
      </c>
      <c r="D28" t="s">
        <v>5</v>
      </c>
      <c r="E28">
        <v>6100</v>
      </c>
      <c r="F28" t="s">
        <v>300</v>
      </c>
      <c r="G28">
        <v>10</v>
      </c>
      <c r="H28" s="2">
        <f>VLOOKUP(A28, ETR!A:K, 11, FALSE)</f>
        <v>8.6999999999999994E-2</v>
      </c>
      <c r="I28">
        <f>VLOOKUP(A28, ETR!A:K, 7, FALSE)</f>
        <v>10.9</v>
      </c>
      <c r="J28">
        <f>VLOOKUP(A28, ETR!A:K, 8, FALSE)</f>
        <v>19.7</v>
      </c>
      <c r="L28">
        <f>VLOOKUP(A28, ETR!A:K, 9, FALSE)</f>
        <v>31.2</v>
      </c>
      <c r="M28">
        <f>VLOOKUP(D28,ITT!A:D,4,FALSE)</f>
        <v>30.5</v>
      </c>
      <c r="N28" t="s">
        <v>430</v>
      </c>
      <c r="O28" t="s">
        <v>393</v>
      </c>
    </row>
    <row r="29" spans="1:15" x14ac:dyDescent="0.25">
      <c r="A29">
        <v>40469970</v>
      </c>
      <c r="B29" t="s">
        <v>17</v>
      </c>
      <c r="C29" t="s">
        <v>50</v>
      </c>
      <c r="D29" t="s">
        <v>45</v>
      </c>
      <c r="E29">
        <v>6000</v>
      </c>
      <c r="F29" t="s">
        <v>301</v>
      </c>
      <c r="G29">
        <v>9</v>
      </c>
      <c r="H29" s="2">
        <f>VLOOKUP(A29, ETR!A:K, 11, FALSE)</f>
        <v>0.122</v>
      </c>
      <c r="I29">
        <f>VLOOKUP(A29, ETR!A:K, 7, FALSE)</f>
        <v>12.2</v>
      </c>
      <c r="J29">
        <f>VLOOKUP(A29, ETR!A:K, 8, FALSE)</f>
        <v>22.1</v>
      </c>
      <c r="L29">
        <f>VLOOKUP(A29, ETR!A:K, 9, FALSE)</f>
        <v>33.299999999999997</v>
      </c>
      <c r="M29">
        <f>VLOOKUP(D29,ITT!A:D,4,FALSE)</f>
        <v>27</v>
      </c>
      <c r="N29" t="s">
        <v>376</v>
      </c>
    </row>
    <row r="30" spans="1:15" x14ac:dyDescent="0.25">
      <c r="A30">
        <v>40469972</v>
      </c>
      <c r="B30" t="s">
        <v>17</v>
      </c>
      <c r="C30" t="s">
        <v>62</v>
      </c>
      <c r="D30" t="s">
        <v>39</v>
      </c>
      <c r="E30">
        <v>5600</v>
      </c>
      <c r="F30" t="s">
        <v>297</v>
      </c>
      <c r="G30">
        <v>2</v>
      </c>
      <c r="H30" s="2">
        <f>VLOOKUP(A30, ETR!A:K, 11, FALSE)</f>
        <v>2.8000000000000001E-2</v>
      </c>
      <c r="I30">
        <f>VLOOKUP(A30, ETR!A:K, 7, FALSE)</f>
        <v>8.6</v>
      </c>
      <c r="J30">
        <f>VLOOKUP(A30, ETR!A:K, 8, FALSE)</f>
        <v>16.8</v>
      </c>
      <c r="L30">
        <f>VLOOKUP(A30, ETR!A:K, 9, FALSE)</f>
        <v>26.5</v>
      </c>
      <c r="M30">
        <f>VLOOKUP(D30,ITT!A:D,4,FALSE)</f>
        <v>21.5</v>
      </c>
    </row>
    <row r="31" spans="1:15" x14ac:dyDescent="0.25">
      <c r="A31">
        <v>40469973</v>
      </c>
      <c r="B31" t="s">
        <v>17</v>
      </c>
      <c r="C31" t="s">
        <v>66</v>
      </c>
      <c r="D31" t="s">
        <v>31</v>
      </c>
      <c r="E31">
        <v>5500</v>
      </c>
      <c r="F31" t="s">
        <v>295</v>
      </c>
      <c r="G31">
        <v>5</v>
      </c>
      <c r="H31" s="2">
        <f>VLOOKUP(A31, ETR!A:K, 11, FALSE)</f>
        <v>0.03</v>
      </c>
      <c r="I31">
        <f>VLOOKUP(A31, ETR!A:K, 7, FALSE)</f>
        <v>9.1999999999999993</v>
      </c>
      <c r="J31">
        <f>VLOOKUP(A31, ETR!A:K, 8, FALSE)</f>
        <v>17.7</v>
      </c>
      <c r="L31">
        <f>VLOOKUP(A31, ETR!A:K, 9, FALSE)</f>
        <v>27.9</v>
      </c>
      <c r="M31">
        <f>VLOOKUP(D31,ITT!A:D,4,FALSE)</f>
        <v>18</v>
      </c>
      <c r="N31" t="s">
        <v>430</v>
      </c>
      <c r="O31" t="s">
        <v>404</v>
      </c>
    </row>
    <row r="32" spans="1:15" x14ac:dyDescent="0.25">
      <c r="A32">
        <v>40469974</v>
      </c>
      <c r="B32" t="s">
        <v>17</v>
      </c>
      <c r="C32" t="s">
        <v>69</v>
      </c>
      <c r="D32" t="s">
        <v>12</v>
      </c>
      <c r="E32">
        <v>5400</v>
      </c>
      <c r="F32" t="s">
        <v>298</v>
      </c>
      <c r="G32">
        <v>6</v>
      </c>
      <c r="H32" s="2">
        <f>VLOOKUP(A32, ETR!A:K, 11, FALSE)</f>
        <v>7.6999999999999999E-2</v>
      </c>
      <c r="I32">
        <f>VLOOKUP(A32, ETR!A:K, 7, FALSE)</f>
        <v>9.1999999999999993</v>
      </c>
      <c r="J32">
        <f>VLOOKUP(A32, ETR!A:K, 8, FALSE)</f>
        <v>18</v>
      </c>
      <c r="L32">
        <f>VLOOKUP(A32, ETR!A:K, 9, FALSE)</f>
        <v>28.1</v>
      </c>
      <c r="M32">
        <f>VLOOKUP(D32,ITT!A:D,4,FALSE)</f>
        <v>25.5</v>
      </c>
    </row>
    <row r="33" spans="1:15" x14ac:dyDescent="0.25">
      <c r="A33">
        <v>40469975</v>
      </c>
      <c r="B33" t="s">
        <v>17</v>
      </c>
      <c r="C33" t="s">
        <v>73</v>
      </c>
      <c r="D33" t="s">
        <v>7</v>
      </c>
      <c r="E33">
        <v>5300</v>
      </c>
      <c r="F33" t="s">
        <v>296</v>
      </c>
      <c r="G33">
        <v>7</v>
      </c>
      <c r="H33" s="2">
        <f>VLOOKUP(A33, ETR!A:K, 11, FALSE)</f>
        <v>8.0000000000000002E-3</v>
      </c>
      <c r="I33">
        <f>VLOOKUP(A33, ETR!A:K, 7, FALSE)</f>
        <v>7.7</v>
      </c>
      <c r="J33">
        <f>VLOOKUP(A33, ETR!A:K, 8, FALSE)</f>
        <v>15.3</v>
      </c>
      <c r="L33">
        <f>VLOOKUP(A33, ETR!A:K, 9, FALSE)</f>
        <v>24.6</v>
      </c>
      <c r="M33">
        <f>VLOOKUP(D33,ITT!A:D,4,FALSE)</f>
        <v>20</v>
      </c>
      <c r="N33" t="s">
        <v>430</v>
      </c>
      <c r="O33" t="s">
        <v>409</v>
      </c>
    </row>
    <row r="34" spans="1:15" x14ac:dyDescent="0.25">
      <c r="A34">
        <v>40469977</v>
      </c>
      <c r="B34" t="s">
        <v>17</v>
      </c>
      <c r="C34" t="s">
        <v>78</v>
      </c>
      <c r="D34" t="s">
        <v>22</v>
      </c>
      <c r="E34">
        <v>5100</v>
      </c>
      <c r="F34" t="s">
        <v>296</v>
      </c>
      <c r="G34">
        <v>7</v>
      </c>
      <c r="H34" s="2">
        <f>VLOOKUP(A34, ETR!A:K, 11, FALSE)</f>
        <v>5.7000000000000002E-2</v>
      </c>
      <c r="I34">
        <f>VLOOKUP(A34, ETR!A:K, 7, FALSE)</f>
        <v>8.6999999999999993</v>
      </c>
      <c r="J34">
        <f>VLOOKUP(A34, ETR!A:K, 8, FALSE)</f>
        <v>16.8</v>
      </c>
      <c r="L34">
        <f>VLOOKUP(A34, ETR!A:K, 9, FALSE)</f>
        <v>26.4</v>
      </c>
      <c r="M34">
        <f>VLOOKUP(D34,ITT!A:D,4,FALSE)</f>
        <v>21.5</v>
      </c>
      <c r="N34" t="s">
        <v>430</v>
      </c>
    </row>
    <row r="35" spans="1:15" x14ac:dyDescent="0.25">
      <c r="A35">
        <v>40469978</v>
      </c>
      <c r="B35" t="s">
        <v>17</v>
      </c>
      <c r="C35" t="s">
        <v>82</v>
      </c>
      <c r="D35" t="s">
        <v>47</v>
      </c>
      <c r="E35">
        <v>5000</v>
      </c>
      <c r="F35" t="s">
        <v>298</v>
      </c>
      <c r="G35">
        <v>6</v>
      </c>
      <c r="H35" s="2">
        <f>VLOOKUP(A35, ETR!A:K, 11, FALSE)</f>
        <v>3.4000000000000002E-2</v>
      </c>
      <c r="I35">
        <f>VLOOKUP(A35, ETR!A:K, 7, FALSE)</f>
        <v>9</v>
      </c>
      <c r="J35">
        <f>VLOOKUP(A35, ETR!A:K, 8, FALSE)</f>
        <v>17.600000000000001</v>
      </c>
      <c r="L35">
        <f>VLOOKUP(A35, ETR!A:K, 9, FALSE)</f>
        <v>27.9</v>
      </c>
      <c r="M35">
        <f>VLOOKUP(D35,ITT!A:D,4,FALSE)</f>
        <v>19</v>
      </c>
      <c r="O35" t="s">
        <v>414</v>
      </c>
    </row>
    <row r="36" spans="1:15" x14ac:dyDescent="0.25">
      <c r="A36">
        <v>40469980</v>
      </c>
      <c r="B36" t="s">
        <v>17</v>
      </c>
      <c r="C36" t="s">
        <v>85</v>
      </c>
      <c r="D36" t="s">
        <v>21</v>
      </c>
      <c r="E36">
        <v>4800</v>
      </c>
      <c r="F36" t="s">
        <v>293</v>
      </c>
      <c r="G36">
        <v>4</v>
      </c>
      <c r="H36" s="2">
        <f>VLOOKUP(A36, ETR!A:K, 11, FALSE)</f>
        <v>2E-3</v>
      </c>
      <c r="I36">
        <f>VLOOKUP(A36, ETR!A:K, 7, FALSE)</f>
        <v>6.4</v>
      </c>
      <c r="J36">
        <f>VLOOKUP(A36, ETR!A:K, 8, FALSE)</f>
        <v>13.6</v>
      </c>
      <c r="L36">
        <f>VLOOKUP(A36, ETR!A:K, 9, FALSE)</f>
        <v>22.1</v>
      </c>
      <c r="M36">
        <f>VLOOKUP(D36,ITT!A:D,4,FALSE)</f>
        <v>18.75</v>
      </c>
    </row>
    <row r="37" spans="1:15" x14ac:dyDescent="0.25">
      <c r="A37">
        <v>40469981</v>
      </c>
      <c r="B37" t="s">
        <v>17</v>
      </c>
      <c r="C37" t="s">
        <v>89</v>
      </c>
      <c r="D37" t="s">
        <v>57</v>
      </c>
      <c r="E37">
        <v>4700</v>
      </c>
      <c r="F37" t="s">
        <v>299</v>
      </c>
      <c r="G37">
        <v>8</v>
      </c>
      <c r="H37" s="2">
        <f>VLOOKUP(A37, ETR!A:K, 11, FALSE)</f>
        <v>8.5999999999999993E-2</v>
      </c>
      <c r="I37">
        <f>VLOOKUP(A37, ETR!A:K, 7, FALSE)</f>
        <v>8.8000000000000007</v>
      </c>
      <c r="J37">
        <f>VLOOKUP(A37, ETR!A:K, 8, FALSE)</f>
        <v>16.899999999999999</v>
      </c>
      <c r="L37">
        <f>VLOOKUP(A37, ETR!A:K, 9, FALSE)</f>
        <v>26.8</v>
      </c>
      <c r="M37">
        <f>VLOOKUP(D37,ITT!A:D,4,FALSE)</f>
        <v>21</v>
      </c>
    </row>
    <row r="38" spans="1:15" x14ac:dyDescent="0.25">
      <c r="A38">
        <v>40469982</v>
      </c>
      <c r="B38" t="s">
        <v>17</v>
      </c>
      <c r="C38" t="s">
        <v>96</v>
      </c>
      <c r="D38" t="s">
        <v>76</v>
      </c>
      <c r="E38">
        <v>4600</v>
      </c>
      <c r="F38" t="s">
        <v>300</v>
      </c>
      <c r="G38">
        <v>10</v>
      </c>
      <c r="H38" s="2">
        <f>VLOOKUP(A38, ETR!A:K, 11, FALSE)</f>
        <v>3.0000000000000001E-3</v>
      </c>
      <c r="I38">
        <f>VLOOKUP(A38, ETR!A:K, 7, FALSE)</f>
        <v>6.2</v>
      </c>
      <c r="J38">
        <f>VLOOKUP(A38, ETR!A:K, 8, FALSE)</f>
        <v>13.1</v>
      </c>
      <c r="L38">
        <f>VLOOKUP(A38, ETR!A:K, 9, FALSE)</f>
        <v>21.4</v>
      </c>
      <c r="M38">
        <f>VLOOKUP(D38,ITT!A:D,4,FALSE)</f>
        <v>16</v>
      </c>
    </row>
    <row r="39" spans="1:15" x14ac:dyDescent="0.25">
      <c r="A39">
        <v>40469983</v>
      </c>
      <c r="B39" t="s">
        <v>17</v>
      </c>
      <c r="C39" t="s">
        <v>99</v>
      </c>
      <c r="D39" t="s">
        <v>41</v>
      </c>
      <c r="E39">
        <v>4500</v>
      </c>
      <c r="F39" t="s">
        <v>294</v>
      </c>
      <c r="G39">
        <v>1</v>
      </c>
      <c r="H39" s="2">
        <f>VLOOKUP(A39, ETR!A:K, 11, FALSE)</f>
        <v>8.9999999999999993E-3</v>
      </c>
      <c r="I39">
        <f>VLOOKUP(A39, ETR!A:K, 7, FALSE)</f>
        <v>6.6</v>
      </c>
      <c r="J39">
        <f>VLOOKUP(A39, ETR!A:K, 8, FALSE)</f>
        <v>13.9</v>
      </c>
      <c r="L39">
        <f>VLOOKUP(A39, ETR!A:K, 9, FALSE)</f>
        <v>22.2</v>
      </c>
      <c r="M39">
        <f>VLOOKUP(D39,ITT!A:D,4,FALSE)</f>
        <v>19.5</v>
      </c>
      <c r="N39" t="s">
        <v>430</v>
      </c>
    </row>
    <row r="40" spans="1:15" x14ac:dyDescent="0.25">
      <c r="A40">
        <v>40469985</v>
      </c>
      <c r="B40" t="s">
        <v>17</v>
      </c>
      <c r="C40" t="s">
        <v>104</v>
      </c>
      <c r="D40" t="s">
        <v>9</v>
      </c>
      <c r="E40">
        <v>4400</v>
      </c>
      <c r="F40" t="s">
        <v>293</v>
      </c>
      <c r="G40">
        <v>4</v>
      </c>
      <c r="H40" s="2">
        <f>VLOOKUP(A40, ETR!A:K, 11, FALSE)</f>
        <v>7.2999999999999995E-2</v>
      </c>
      <c r="I40">
        <f>VLOOKUP(A40, ETR!A:K, 7, FALSE)</f>
        <v>8</v>
      </c>
      <c r="J40">
        <f>VLOOKUP(A40, ETR!A:K, 8, FALSE)</f>
        <v>15.7</v>
      </c>
      <c r="L40">
        <f>VLOOKUP(A40, ETR!A:K, 9, FALSE)</f>
        <v>25.8</v>
      </c>
      <c r="M40">
        <f>VLOOKUP(D40,ITT!A:D,4,FALSE)</f>
        <v>25.75</v>
      </c>
    </row>
    <row r="41" spans="1:15" x14ac:dyDescent="0.25">
      <c r="A41">
        <v>40469987</v>
      </c>
      <c r="B41" t="s">
        <v>17</v>
      </c>
      <c r="C41" t="s">
        <v>110</v>
      </c>
      <c r="D41" t="s">
        <v>26</v>
      </c>
      <c r="E41">
        <v>4300</v>
      </c>
      <c r="F41" t="s">
        <v>297</v>
      </c>
      <c r="G41">
        <v>2</v>
      </c>
      <c r="H41" s="2">
        <f>VLOOKUP(A41, ETR!A:K, 11, FALSE)</f>
        <v>4.1000000000000002E-2</v>
      </c>
      <c r="I41">
        <f>VLOOKUP(A41, ETR!A:K, 7, FALSE)</f>
        <v>8.4</v>
      </c>
      <c r="J41">
        <f>VLOOKUP(A41, ETR!A:K, 8, FALSE)</f>
        <v>16.5</v>
      </c>
      <c r="L41">
        <f>VLOOKUP(A41, ETR!A:K, 9, FALSE)</f>
        <v>26.4</v>
      </c>
      <c r="M41">
        <f>VLOOKUP(D41,ITT!A:D,4,FALSE)</f>
        <v>25</v>
      </c>
    </row>
    <row r="42" spans="1:15" x14ac:dyDescent="0.25">
      <c r="A42">
        <v>40469988</v>
      </c>
      <c r="B42" t="s">
        <v>17</v>
      </c>
      <c r="C42" t="s">
        <v>117</v>
      </c>
      <c r="D42" t="s">
        <v>33</v>
      </c>
      <c r="E42">
        <v>4200</v>
      </c>
      <c r="F42" t="s">
        <v>292</v>
      </c>
      <c r="G42">
        <v>3</v>
      </c>
      <c r="H42" s="2">
        <f>VLOOKUP(A42, ETR!A:K, 11, FALSE)</f>
        <v>2E-3</v>
      </c>
      <c r="I42">
        <f>VLOOKUP(A42, ETR!A:K, 7, FALSE)</f>
        <v>5.8</v>
      </c>
      <c r="J42">
        <f>VLOOKUP(A42, ETR!A:K, 8, FALSE)</f>
        <v>12.5</v>
      </c>
      <c r="L42">
        <f>VLOOKUP(A42, ETR!A:K, 9, FALSE)</f>
        <v>20.399999999999999</v>
      </c>
      <c r="M42">
        <f>VLOOKUP(D42,ITT!A:D,4,FALSE)</f>
        <v>16.75</v>
      </c>
    </row>
    <row r="43" spans="1:15" x14ac:dyDescent="0.25">
      <c r="A43">
        <v>40470030</v>
      </c>
      <c r="B43" t="s">
        <v>3</v>
      </c>
      <c r="C43" t="s">
        <v>4</v>
      </c>
      <c r="D43" t="s">
        <v>5</v>
      </c>
      <c r="E43">
        <v>9500</v>
      </c>
      <c r="F43" t="s">
        <v>300</v>
      </c>
      <c r="G43">
        <v>10</v>
      </c>
      <c r="H43" s="2">
        <f>VLOOKUP(A43, ETR!A:K, 11, FALSE)</f>
        <v>0.22700000000000001</v>
      </c>
      <c r="I43">
        <f>VLOOKUP(A43, ETR!A:K, 7, FALSE)</f>
        <v>12.1</v>
      </c>
      <c r="J43">
        <f>VLOOKUP(A43, ETR!A:K, 8, FALSE)</f>
        <v>25.8</v>
      </c>
      <c r="K43">
        <f t="shared" ref="K43:K74" si="0">(E43/1000)*3.5</f>
        <v>33.25</v>
      </c>
      <c r="L43">
        <f>VLOOKUP(A43, ETR!A:K, 9, FALSE)</f>
        <v>41.7</v>
      </c>
      <c r="M43">
        <f>VLOOKUP(D43,ITT!A:D,4,FALSE)</f>
        <v>30.5</v>
      </c>
      <c r="N43" t="s">
        <v>376</v>
      </c>
    </row>
    <row r="44" spans="1:15" x14ac:dyDescent="0.25">
      <c r="A44">
        <v>40470032</v>
      </c>
      <c r="B44" t="s">
        <v>3</v>
      </c>
      <c r="C44" t="s">
        <v>6</v>
      </c>
      <c r="D44" t="s">
        <v>7</v>
      </c>
      <c r="E44">
        <v>9000</v>
      </c>
      <c r="F44" t="s">
        <v>296</v>
      </c>
      <c r="G44">
        <v>7</v>
      </c>
      <c r="H44" s="2">
        <f>VLOOKUP(A44, ETR!A:K, 11, FALSE)</f>
        <v>0.16600000000000001</v>
      </c>
      <c r="I44">
        <f>VLOOKUP(A44, ETR!A:K, 7, FALSE)</f>
        <v>11.4</v>
      </c>
      <c r="J44">
        <f>VLOOKUP(A44, ETR!A:K, 8, FALSE)</f>
        <v>23.3</v>
      </c>
      <c r="K44">
        <f t="shared" si="0"/>
        <v>31.5</v>
      </c>
      <c r="L44">
        <f>VLOOKUP(A44, ETR!A:K, 9, FALSE)</f>
        <v>37.5</v>
      </c>
      <c r="M44">
        <f>VLOOKUP(D44,ITT!A:D,4,FALSE)</f>
        <v>20</v>
      </c>
      <c r="N44" t="s">
        <v>376</v>
      </c>
      <c r="O44" t="s">
        <v>407</v>
      </c>
    </row>
    <row r="45" spans="1:15" x14ac:dyDescent="0.25">
      <c r="A45">
        <v>40470034</v>
      </c>
      <c r="B45" t="s">
        <v>3</v>
      </c>
      <c r="C45" t="s">
        <v>8</v>
      </c>
      <c r="D45" t="s">
        <v>9</v>
      </c>
      <c r="E45">
        <v>8800</v>
      </c>
      <c r="F45" t="s">
        <v>293</v>
      </c>
      <c r="G45">
        <v>4</v>
      </c>
      <c r="H45" s="2">
        <f>VLOOKUP(A45, ETR!A:K, 11, FALSE)</f>
        <v>0.29099999999999998</v>
      </c>
      <c r="I45">
        <f>VLOOKUP(A45, ETR!A:K, 7, FALSE)</f>
        <v>12.7</v>
      </c>
      <c r="J45">
        <f>VLOOKUP(A45, ETR!A:K, 8, FALSE)</f>
        <v>25.7</v>
      </c>
      <c r="K45">
        <f t="shared" si="0"/>
        <v>30.800000000000004</v>
      </c>
      <c r="L45">
        <f>VLOOKUP(A45, ETR!A:K, 9, FALSE)</f>
        <v>41.7</v>
      </c>
      <c r="M45">
        <f>VLOOKUP(D45,ITT!A:D,4,FALSE)</f>
        <v>25.75</v>
      </c>
      <c r="N45" t="s">
        <v>376</v>
      </c>
      <c r="O45" t="s">
        <v>370</v>
      </c>
    </row>
    <row r="46" spans="1:15" x14ac:dyDescent="0.25">
      <c r="A46">
        <v>40470036</v>
      </c>
      <c r="B46" t="s">
        <v>3</v>
      </c>
      <c r="C46" t="s">
        <v>15</v>
      </c>
      <c r="D46" t="s">
        <v>16</v>
      </c>
      <c r="E46">
        <v>7600</v>
      </c>
      <c r="F46" t="s">
        <v>295</v>
      </c>
      <c r="G46">
        <v>5</v>
      </c>
      <c r="H46" s="2">
        <f>VLOOKUP(A46, ETR!A:K, 11, FALSE)</f>
        <v>0.17699999999999999</v>
      </c>
      <c r="I46">
        <f>VLOOKUP(A46, ETR!A:K, 7, FALSE)</f>
        <v>9.4</v>
      </c>
      <c r="J46">
        <f>VLOOKUP(A46, ETR!A:K, 8, FALSE)</f>
        <v>20.6</v>
      </c>
      <c r="K46">
        <f t="shared" si="0"/>
        <v>26.599999999999998</v>
      </c>
      <c r="L46">
        <f>VLOOKUP(A46, ETR!A:K, 9, FALSE)</f>
        <v>34.9</v>
      </c>
      <c r="M46">
        <f>VLOOKUP(D46,ITT!A:D,4,FALSE)</f>
        <v>25.5</v>
      </c>
      <c r="N46" t="s">
        <v>376</v>
      </c>
      <c r="O46" t="s">
        <v>418</v>
      </c>
    </row>
    <row r="47" spans="1:15" x14ac:dyDescent="0.25">
      <c r="A47">
        <v>40470038</v>
      </c>
      <c r="B47" t="s">
        <v>3</v>
      </c>
      <c r="C47" t="s">
        <v>20</v>
      </c>
      <c r="D47" t="s">
        <v>21</v>
      </c>
      <c r="E47">
        <v>7300</v>
      </c>
      <c r="F47" t="s">
        <v>293</v>
      </c>
      <c r="G47">
        <v>4</v>
      </c>
      <c r="H47" s="2">
        <f>VLOOKUP(A47, ETR!A:K, 11, FALSE)</f>
        <v>0.187</v>
      </c>
      <c r="I47">
        <f>VLOOKUP(A47, ETR!A:K, 7, FALSE)</f>
        <v>9</v>
      </c>
      <c r="J47">
        <f>VLOOKUP(A47, ETR!A:K, 8, FALSE)</f>
        <v>19.7</v>
      </c>
      <c r="K47">
        <f t="shared" si="0"/>
        <v>25.55</v>
      </c>
      <c r="L47">
        <f>VLOOKUP(A47, ETR!A:K, 9, FALSE)</f>
        <v>32.4</v>
      </c>
      <c r="M47">
        <f>VLOOKUP(D47,ITT!A:D,4,FALSE)</f>
        <v>18.75</v>
      </c>
      <c r="O47" t="s">
        <v>394</v>
      </c>
    </row>
    <row r="48" spans="1:15" x14ac:dyDescent="0.25">
      <c r="A48">
        <v>40470040</v>
      </c>
      <c r="B48" t="s">
        <v>3</v>
      </c>
      <c r="C48" t="s">
        <v>27</v>
      </c>
      <c r="D48" t="s">
        <v>14</v>
      </c>
      <c r="E48">
        <v>6800</v>
      </c>
      <c r="F48" t="s">
        <v>301</v>
      </c>
      <c r="G48">
        <v>9</v>
      </c>
      <c r="H48" s="2">
        <f>VLOOKUP(A48, ETR!A:K, 11, FALSE)</f>
        <v>9.6000000000000002E-2</v>
      </c>
      <c r="I48">
        <f>VLOOKUP(A48, ETR!A:K, 7, FALSE)</f>
        <v>7.3</v>
      </c>
      <c r="J48">
        <f>VLOOKUP(A48, ETR!A:K, 8, FALSE)</f>
        <v>17.5</v>
      </c>
      <c r="K48">
        <f t="shared" si="0"/>
        <v>23.8</v>
      </c>
      <c r="L48">
        <f>VLOOKUP(A48, ETR!A:K, 9, FALSE)</f>
        <v>30.4</v>
      </c>
      <c r="M48">
        <f>VLOOKUP(D48,ITT!A:D,4,FALSE)</f>
        <v>23.5</v>
      </c>
    </row>
    <row r="49" spans="1:15" x14ac:dyDescent="0.25">
      <c r="A49">
        <v>40470044</v>
      </c>
      <c r="B49" t="s">
        <v>3</v>
      </c>
      <c r="C49" t="s">
        <v>28</v>
      </c>
      <c r="D49" t="s">
        <v>19</v>
      </c>
      <c r="E49">
        <v>6700</v>
      </c>
      <c r="F49" t="s">
        <v>294</v>
      </c>
      <c r="G49">
        <v>1</v>
      </c>
      <c r="H49" s="2">
        <f>VLOOKUP(A49, ETR!A:K, 11, FALSE)</f>
        <v>0.11799999999999999</v>
      </c>
      <c r="I49">
        <f>VLOOKUP(A49, ETR!A:K, 7, FALSE)</f>
        <v>7.4</v>
      </c>
      <c r="J49">
        <f>VLOOKUP(A49, ETR!A:K, 8, FALSE)</f>
        <v>18.3</v>
      </c>
      <c r="K49">
        <f t="shared" si="0"/>
        <v>23.45</v>
      </c>
      <c r="L49">
        <f>VLOOKUP(A49, ETR!A:K, 9, FALSE)</f>
        <v>32.1</v>
      </c>
      <c r="M49">
        <f>VLOOKUP(D49,ITT!A:D,4,FALSE)</f>
        <v>27</v>
      </c>
      <c r="O49" t="s">
        <v>378</v>
      </c>
    </row>
    <row r="50" spans="1:15" x14ac:dyDescent="0.25">
      <c r="A50">
        <v>40470046</v>
      </c>
      <c r="B50" t="s">
        <v>3</v>
      </c>
      <c r="C50" t="s">
        <v>30</v>
      </c>
      <c r="D50" t="s">
        <v>31</v>
      </c>
      <c r="E50">
        <v>6600</v>
      </c>
      <c r="F50" t="s">
        <v>295</v>
      </c>
      <c r="G50">
        <v>5</v>
      </c>
      <c r="H50" s="2">
        <f>VLOOKUP(A50, ETR!A:K, 11, FALSE)</f>
        <v>4.1000000000000002E-2</v>
      </c>
      <c r="I50">
        <f>VLOOKUP(A50, ETR!A:K, 7, FALSE)</f>
        <v>5.3</v>
      </c>
      <c r="J50">
        <f>VLOOKUP(A50, ETR!A:K, 8, FALSE)</f>
        <v>13.5</v>
      </c>
      <c r="K50">
        <f t="shared" si="0"/>
        <v>23.099999999999998</v>
      </c>
      <c r="L50">
        <f>VLOOKUP(A50, ETR!A:K, 9, FALSE)</f>
        <v>24.3</v>
      </c>
      <c r="M50">
        <f>VLOOKUP(D50,ITT!A:D,4,FALSE)</f>
        <v>18</v>
      </c>
    </row>
    <row r="51" spans="1:15" x14ac:dyDescent="0.25">
      <c r="A51">
        <v>40470048</v>
      </c>
      <c r="B51" t="s">
        <v>3</v>
      </c>
      <c r="C51" t="s">
        <v>32</v>
      </c>
      <c r="D51" t="s">
        <v>33</v>
      </c>
      <c r="E51">
        <v>6500</v>
      </c>
      <c r="F51" t="s">
        <v>292</v>
      </c>
      <c r="G51">
        <v>3</v>
      </c>
      <c r="H51" s="2">
        <f>VLOOKUP(A51, ETR!A:K, 11, FALSE)</f>
        <v>4.7E-2</v>
      </c>
      <c r="I51">
        <f>VLOOKUP(A51, ETR!A:K, 7, FALSE)</f>
        <v>5.5</v>
      </c>
      <c r="J51">
        <f>VLOOKUP(A51, ETR!A:K, 8, FALSE)</f>
        <v>14.3</v>
      </c>
      <c r="K51">
        <f t="shared" si="0"/>
        <v>22.75</v>
      </c>
      <c r="L51">
        <f>VLOOKUP(A51, ETR!A:K, 9, FALSE)</f>
        <v>25.8</v>
      </c>
      <c r="M51">
        <f>VLOOKUP(D51,ITT!A:D,4,FALSE)</f>
        <v>16.75</v>
      </c>
      <c r="O51" t="s">
        <v>386</v>
      </c>
    </row>
    <row r="52" spans="1:15" x14ac:dyDescent="0.25">
      <c r="A52">
        <v>40470050</v>
      </c>
      <c r="B52" t="s">
        <v>3</v>
      </c>
      <c r="C52" t="s">
        <v>37</v>
      </c>
      <c r="D52" t="s">
        <v>25</v>
      </c>
      <c r="E52">
        <v>6400</v>
      </c>
      <c r="F52" t="s">
        <v>299</v>
      </c>
      <c r="G52">
        <v>8</v>
      </c>
      <c r="H52" s="2">
        <f>VLOOKUP(A52, ETR!A:K, 11, FALSE)</f>
        <v>0.23799999999999999</v>
      </c>
      <c r="I52">
        <f>VLOOKUP(A52, ETR!A:K, 7, FALSE)</f>
        <v>8.5</v>
      </c>
      <c r="J52">
        <f>VLOOKUP(A52, ETR!A:K, 8, FALSE)</f>
        <v>19.2</v>
      </c>
      <c r="K52">
        <f t="shared" si="0"/>
        <v>22.400000000000002</v>
      </c>
      <c r="L52">
        <f>VLOOKUP(A52, ETR!A:K, 9, FALSE)</f>
        <v>33</v>
      </c>
      <c r="M52">
        <f>VLOOKUP(D52,ITT!A:D,4,FALSE)</f>
        <v>25.5</v>
      </c>
      <c r="N52" t="s">
        <v>431</v>
      </c>
      <c r="O52" t="s">
        <v>373</v>
      </c>
    </row>
    <row r="53" spans="1:15" x14ac:dyDescent="0.25">
      <c r="A53">
        <v>40470052</v>
      </c>
      <c r="B53" t="s">
        <v>3</v>
      </c>
      <c r="C53" t="s">
        <v>40</v>
      </c>
      <c r="D53" t="s">
        <v>41</v>
      </c>
      <c r="E53">
        <v>6300</v>
      </c>
      <c r="F53" t="s">
        <v>294</v>
      </c>
      <c r="G53">
        <v>1</v>
      </c>
      <c r="H53" s="2">
        <f>VLOOKUP(A53, ETR!A:K, 11, FALSE)</f>
        <v>8.0000000000000002E-3</v>
      </c>
      <c r="I53">
        <f>VLOOKUP(A53, ETR!A:K, 7, FALSE)</f>
        <v>4.4000000000000004</v>
      </c>
      <c r="J53">
        <f>VLOOKUP(A53, ETR!A:K, 8, FALSE)</f>
        <v>12.3</v>
      </c>
      <c r="K53">
        <f t="shared" si="0"/>
        <v>22.05</v>
      </c>
      <c r="L53">
        <f>VLOOKUP(A53, ETR!A:K, 9, FALSE)</f>
        <v>22.8</v>
      </c>
      <c r="M53">
        <f>VLOOKUP(D53,ITT!A:D,4,FALSE)</f>
        <v>19.5</v>
      </c>
      <c r="O53" t="s">
        <v>382</v>
      </c>
    </row>
    <row r="54" spans="1:15" x14ac:dyDescent="0.25">
      <c r="A54">
        <v>40470054</v>
      </c>
      <c r="B54" t="s">
        <v>3</v>
      </c>
      <c r="C54" s="1" t="s">
        <v>46</v>
      </c>
      <c r="D54" t="s">
        <v>47</v>
      </c>
      <c r="E54">
        <v>6100</v>
      </c>
      <c r="F54" t="s">
        <v>298</v>
      </c>
      <c r="G54">
        <v>6</v>
      </c>
      <c r="H54" s="2">
        <f>VLOOKUP(A54, ETR!A:K, 11, FALSE)</f>
        <v>0.185</v>
      </c>
      <c r="I54">
        <f>VLOOKUP(A54, ETR!A:K, 7, FALSE)</f>
        <v>7</v>
      </c>
      <c r="J54">
        <f>VLOOKUP(A54, ETR!A:K, 8, FALSE)</f>
        <v>16.5</v>
      </c>
      <c r="K54">
        <f t="shared" si="0"/>
        <v>21.349999999999998</v>
      </c>
      <c r="L54">
        <f>VLOOKUP(A54, ETR!A:K, 9, FALSE)</f>
        <v>28.7</v>
      </c>
      <c r="M54">
        <f>VLOOKUP(D54,ITT!A:D,4,FALSE)</f>
        <v>19</v>
      </c>
    </row>
    <row r="55" spans="1:15" x14ac:dyDescent="0.25">
      <c r="A55">
        <v>40470056</v>
      </c>
      <c r="B55" t="s">
        <v>3</v>
      </c>
      <c r="C55" t="s">
        <v>49</v>
      </c>
      <c r="D55" t="s">
        <v>26</v>
      </c>
      <c r="E55">
        <v>6000</v>
      </c>
      <c r="F55" t="s">
        <v>297</v>
      </c>
      <c r="G55">
        <v>2</v>
      </c>
      <c r="H55" s="2">
        <f>VLOOKUP(A55, ETR!A:K, 11, FALSE)</f>
        <v>0.23400000000000001</v>
      </c>
      <c r="I55">
        <f>VLOOKUP(A55, ETR!A:K, 7, FALSE)</f>
        <v>6.3</v>
      </c>
      <c r="J55">
        <f>VLOOKUP(A55, ETR!A:K, 8, FALSE)</f>
        <v>16.8</v>
      </c>
      <c r="K55">
        <f t="shared" si="0"/>
        <v>21</v>
      </c>
      <c r="L55">
        <f>VLOOKUP(A55, ETR!A:K, 9, FALSE)</f>
        <v>30</v>
      </c>
      <c r="M55">
        <f>VLOOKUP(D55,ITT!A:D,4,FALSE)</f>
        <v>25</v>
      </c>
      <c r="N55" t="s">
        <v>431</v>
      </c>
      <c r="O55" t="s">
        <v>371</v>
      </c>
    </row>
    <row r="56" spans="1:15" x14ac:dyDescent="0.25">
      <c r="A56">
        <v>40470058</v>
      </c>
      <c r="B56" t="s">
        <v>3</v>
      </c>
      <c r="C56" s="1" t="s">
        <v>53</v>
      </c>
      <c r="D56" t="s">
        <v>39</v>
      </c>
      <c r="E56">
        <v>5900</v>
      </c>
      <c r="F56" t="s">
        <v>297</v>
      </c>
      <c r="G56">
        <v>2</v>
      </c>
      <c r="H56" s="2">
        <f>VLOOKUP(A56, ETR!A:K, 11, FALSE)</f>
        <v>4.4999999999999998E-2</v>
      </c>
      <c r="I56">
        <f>VLOOKUP(A56, ETR!A:K, 7, FALSE)</f>
        <v>5.0999999999999996</v>
      </c>
      <c r="J56">
        <f>VLOOKUP(A56, ETR!A:K, 8, FALSE)</f>
        <v>13.7</v>
      </c>
      <c r="K56">
        <f t="shared" si="0"/>
        <v>20.650000000000002</v>
      </c>
      <c r="L56">
        <f>VLOOKUP(A56, ETR!A:K, 9, FALSE)</f>
        <v>24.8</v>
      </c>
      <c r="M56">
        <f>VLOOKUP(D56,ITT!A:D,4,FALSE)</f>
        <v>21.5</v>
      </c>
      <c r="O56" t="s">
        <v>384</v>
      </c>
    </row>
    <row r="57" spans="1:15" x14ac:dyDescent="0.25">
      <c r="A57">
        <v>40470060</v>
      </c>
      <c r="B57" t="s">
        <v>3</v>
      </c>
      <c r="C57" t="s">
        <v>58</v>
      </c>
      <c r="D57" t="s">
        <v>45</v>
      </c>
      <c r="E57">
        <v>5800</v>
      </c>
      <c r="F57" t="s">
        <v>301</v>
      </c>
      <c r="G57">
        <v>9</v>
      </c>
      <c r="H57" s="2">
        <f>VLOOKUP(A57, ETR!A:K, 11, FALSE)</f>
        <v>6.3E-2</v>
      </c>
      <c r="I57">
        <f>VLOOKUP(A57, ETR!A:K, 7, FALSE)</f>
        <v>4.3</v>
      </c>
      <c r="J57">
        <f>VLOOKUP(A57, ETR!A:K, 8, FALSE)</f>
        <v>12.9</v>
      </c>
      <c r="K57">
        <f t="shared" si="0"/>
        <v>20.3</v>
      </c>
      <c r="L57">
        <f>VLOOKUP(A57, ETR!A:K, 9, FALSE)</f>
        <v>24.8</v>
      </c>
      <c r="M57">
        <f>VLOOKUP(D57,ITT!A:D,4,FALSE)</f>
        <v>27</v>
      </c>
      <c r="N57" t="s">
        <v>415</v>
      </c>
      <c r="O57" t="s">
        <v>388</v>
      </c>
    </row>
    <row r="58" spans="1:15" x14ac:dyDescent="0.25">
      <c r="A58">
        <v>40470062</v>
      </c>
      <c r="B58" t="s">
        <v>3</v>
      </c>
      <c r="C58" t="s">
        <v>61</v>
      </c>
      <c r="D58" t="s">
        <v>57</v>
      </c>
      <c r="E58">
        <v>5700</v>
      </c>
      <c r="F58" t="s">
        <v>299</v>
      </c>
      <c r="G58">
        <v>8</v>
      </c>
      <c r="H58" s="2">
        <f>VLOOKUP(A58, ETR!A:K, 11, FALSE)</f>
        <v>8.2000000000000003E-2</v>
      </c>
      <c r="I58">
        <f>VLOOKUP(A58, ETR!A:K, 7, FALSE)</f>
        <v>6.1</v>
      </c>
      <c r="J58">
        <f>VLOOKUP(A58, ETR!A:K, 8, FALSE)</f>
        <v>14.7</v>
      </c>
      <c r="K58">
        <f t="shared" si="0"/>
        <v>19.95</v>
      </c>
      <c r="L58">
        <f>VLOOKUP(A58, ETR!A:K, 9, FALSE)</f>
        <v>25.9</v>
      </c>
      <c r="M58">
        <f>VLOOKUP(D58,ITT!A:D,4,FALSE)</f>
        <v>21</v>
      </c>
      <c r="O58" t="s">
        <v>401</v>
      </c>
    </row>
    <row r="59" spans="1:15" x14ac:dyDescent="0.25">
      <c r="A59">
        <v>40470064</v>
      </c>
      <c r="B59" t="s">
        <v>3</v>
      </c>
      <c r="C59" t="s">
        <v>65</v>
      </c>
      <c r="D59" t="s">
        <v>43</v>
      </c>
      <c r="E59">
        <v>5500</v>
      </c>
      <c r="F59" t="s">
        <v>292</v>
      </c>
      <c r="G59">
        <v>3</v>
      </c>
      <c r="H59" s="2">
        <f>VLOOKUP(A59, ETR!A:K, 11, FALSE)</f>
        <v>6.6000000000000003E-2</v>
      </c>
      <c r="I59">
        <f>VLOOKUP(A59, ETR!A:K, 7, FALSE)</f>
        <v>4.2</v>
      </c>
      <c r="J59">
        <f>VLOOKUP(A59, ETR!A:K, 8, FALSE)</f>
        <v>11.8</v>
      </c>
      <c r="K59">
        <f t="shared" si="0"/>
        <v>19.25</v>
      </c>
      <c r="L59">
        <f>VLOOKUP(A59, ETR!A:K, 9, FALSE)</f>
        <v>22.1</v>
      </c>
      <c r="M59">
        <f>VLOOKUP(D59,ITT!A:D,4,FALSE)</f>
        <v>23.75</v>
      </c>
      <c r="O59" t="s">
        <v>399</v>
      </c>
    </row>
    <row r="60" spans="1:15" x14ac:dyDescent="0.25">
      <c r="A60">
        <v>40470066</v>
      </c>
      <c r="B60" t="s">
        <v>3</v>
      </c>
      <c r="C60" t="s">
        <v>70</v>
      </c>
      <c r="D60" t="s">
        <v>12</v>
      </c>
      <c r="E60">
        <v>5400</v>
      </c>
      <c r="F60" t="s">
        <v>298</v>
      </c>
      <c r="G60">
        <v>6</v>
      </c>
      <c r="H60" s="2">
        <f>VLOOKUP(A60, ETR!A:K, 11, FALSE)</f>
        <v>0.154</v>
      </c>
      <c r="I60">
        <f>VLOOKUP(A60, ETR!A:K, 7, FALSE)</f>
        <v>5.3</v>
      </c>
      <c r="J60">
        <f>VLOOKUP(A60, ETR!A:K, 8, FALSE)</f>
        <v>13.8</v>
      </c>
      <c r="K60">
        <f t="shared" si="0"/>
        <v>18.900000000000002</v>
      </c>
      <c r="L60">
        <f>VLOOKUP(A60, ETR!A:K, 9, FALSE)</f>
        <v>25.4</v>
      </c>
      <c r="M60">
        <f>VLOOKUP(D60,ITT!A:D,4,FALSE)</f>
        <v>25.5</v>
      </c>
      <c r="O60" t="s">
        <v>374</v>
      </c>
    </row>
    <row r="61" spans="1:15" x14ac:dyDescent="0.25">
      <c r="A61">
        <v>40470068</v>
      </c>
      <c r="B61" t="s">
        <v>3</v>
      </c>
      <c r="C61" t="s">
        <v>72</v>
      </c>
      <c r="D61" t="s">
        <v>41</v>
      </c>
      <c r="E61">
        <v>5300</v>
      </c>
      <c r="F61" t="s">
        <v>294</v>
      </c>
      <c r="G61">
        <v>1</v>
      </c>
      <c r="H61" s="2">
        <f>VLOOKUP(A61, ETR!A:K, 11, FALSE)</f>
        <v>7.0000000000000001E-3</v>
      </c>
      <c r="I61">
        <f>VLOOKUP(A61, ETR!A:K, 7, FALSE)</f>
        <v>3.8</v>
      </c>
      <c r="J61">
        <f>VLOOKUP(A61, ETR!A:K, 8, FALSE)</f>
        <v>10.9</v>
      </c>
      <c r="K61">
        <f t="shared" si="0"/>
        <v>18.55</v>
      </c>
      <c r="L61">
        <f>VLOOKUP(A61, ETR!A:K, 9, FALSE)</f>
        <v>20.5</v>
      </c>
      <c r="M61">
        <f>VLOOKUP(D61,ITT!A:D,4,FALSE)</f>
        <v>19.5</v>
      </c>
      <c r="O61" t="s">
        <v>375</v>
      </c>
    </row>
    <row r="62" spans="1:15" x14ac:dyDescent="0.25">
      <c r="A62">
        <v>40470070</v>
      </c>
      <c r="B62" t="s">
        <v>3</v>
      </c>
      <c r="C62" t="s">
        <v>75</v>
      </c>
      <c r="D62" t="s">
        <v>76</v>
      </c>
      <c r="E62">
        <v>5200</v>
      </c>
      <c r="F62" t="s">
        <v>300</v>
      </c>
      <c r="G62">
        <v>10</v>
      </c>
      <c r="H62" s="2">
        <f>VLOOKUP(A62, ETR!A:K, 11, FALSE)</f>
        <v>1.0999999999999999E-2</v>
      </c>
      <c r="I62">
        <f>VLOOKUP(A62, ETR!A:K, 7, FALSE)</f>
        <v>4.0999999999999996</v>
      </c>
      <c r="J62">
        <f>VLOOKUP(A62, ETR!A:K, 8, FALSE)</f>
        <v>11.3</v>
      </c>
      <c r="K62">
        <f t="shared" si="0"/>
        <v>18.2</v>
      </c>
      <c r="L62">
        <f>VLOOKUP(A62, ETR!A:K, 9, FALSE)</f>
        <v>20.399999999999999</v>
      </c>
      <c r="M62">
        <f>VLOOKUP(D62,ITT!A:D,4,FALSE)</f>
        <v>16</v>
      </c>
    </row>
    <row r="63" spans="1:15" x14ac:dyDescent="0.25">
      <c r="A63">
        <v>40470072</v>
      </c>
      <c r="B63" t="s">
        <v>3</v>
      </c>
      <c r="C63" t="s">
        <v>79</v>
      </c>
      <c r="D63" t="s">
        <v>22</v>
      </c>
      <c r="E63">
        <v>5100</v>
      </c>
      <c r="F63" t="s">
        <v>296</v>
      </c>
      <c r="G63">
        <v>7</v>
      </c>
      <c r="H63" s="2">
        <f>VLOOKUP(A63, ETR!A:K, 11, FALSE)</f>
        <v>0.03</v>
      </c>
      <c r="I63">
        <f>VLOOKUP(A63, ETR!A:K, 7, FALSE)</f>
        <v>4</v>
      </c>
      <c r="J63">
        <f>VLOOKUP(A63, ETR!A:K, 8, FALSE)</f>
        <v>11.3</v>
      </c>
      <c r="K63">
        <f t="shared" si="0"/>
        <v>17.849999999999998</v>
      </c>
      <c r="L63">
        <f>VLOOKUP(A63, ETR!A:K, 9, FALSE)</f>
        <v>21.1</v>
      </c>
      <c r="M63">
        <f>VLOOKUP(D63,ITT!A:D,4,FALSE)</f>
        <v>21.5</v>
      </c>
    </row>
    <row r="64" spans="1:15" x14ac:dyDescent="0.25">
      <c r="A64">
        <v>40470074</v>
      </c>
      <c r="B64" t="s">
        <v>3</v>
      </c>
      <c r="C64" t="s">
        <v>83</v>
      </c>
      <c r="D64" t="s">
        <v>22</v>
      </c>
      <c r="E64">
        <v>5000</v>
      </c>
      <c r="F64" t="s">
        <v>296</v>
      </c>
      <c r="G64">
        <v>7</v>
      </c>
      <c r="H64" s="2">
        <f>VLOOKUP(A64, ETR!A:K, 11, FALSE)</f>
        <v>2E-3</v>
      </c>
      <c r="I64">
        <f>VLOOKUP(A64, ETR!A:K, 7, FALSE)</f>
        <v>3</v>
      </c>
      <c r="J64">
        <f>VLOOKUP(A64, ETR!A:K, 8, FALSE)</f>
        <v>9.4</v>
      </c>
      <c r="K64">
        <f t="shared" si="0"/>
        <v>17.5</v>
      </c>
      <c r="L64">
        <f>VLOOKUP(A64, ETR!A:K, 9, FALSE)</f>
        <v>18.2</v>
      </c>
      <c r="M64">
        <f>VLOOKUP(D64,ITT!A:D,4,FALSE)</f>
        <v>21.5</v>
      </c>
    </row>
    <row r="65" spans="1:13" x14ac:dyDescent="0.25">
      <c r="A65">
        <v>40470078</v>
      </c>
      <c r="B65" t="s">
        <v>3</v>
      </c>
      <c r="C65" t="s">
        <v>84</v>
      </c>
      <c r="D65" t="s">
        <v>39</v>
      </c>
      <c r="E65">
        <v>4900</v>
      </c>
      <c r="F65" t="s">
        <v>297</v>
      </c>
      <c r="G65">
        <v>2</v>
      </c>
      <c r="H65" s="2">
        <f>VLOOKUP(A65, ETR!A:K, 11, FALSE)</f>
        <v>2E-3</v>
      </c>
      <c r="I65">
        <f>VLOOKUP(A65, ETR!A:K, 7, FALSE)</f>
        <v>1.7</v>
      </c>
      <c r="J65">
        <f>VLOOKUP(A65, ETR!A:K, 8, FALSE)</f>
        <v>6.8</v>
      </c>
      <c r="K65">
        <f t="shared" si="0"/>
        <v>17.150000000000002</v>
      </c>
      <c r="L65">
        <f>VLOOKUP(A65, ETR!A:K, 9, FALSE)</f>
        <v>14.5</v>
      </c>
      <c r="M65">
        <f>VLOOKUP(D65,ITT!A:D,4,FALSE)</f>
        <v>21.5</v>
      </c>
    </row>
    <row r="66" spans="1:13" x14ac:dyDescent="0.25">
      <c r="A66">
        <v>40470082</v>
      </c>
      <c r="B66" t="s">
        <v>3</v>
      </c>
      <c r="C66" t="s">
        <v>88</v>
      </c>
      <c r="D66" t="s">
        <v>45</v>
      </c>
      <c r="E66">
        <v>4800</v>
      </c>
      <c r="F66" t="s">
        <v>301</v>
      </c>
      <c r="G66">
        <v>9</v>
      </c>
      <c r="H66" s="2">
        <f>VLOOKUP(A66, ETR!A:K, 11, FALSE)</f>
        <v>2E-3</v>
      </c>
      <c r="I66">
        <f>VLOOKUP(A66, ETR!A:K, 7, FALSE)</f>
        <v>2</v>
      </c>
      <c r="J66">
        <f>VLOOKUP(A66, ETR!A:K, 8, FALSE)</f>
        <v>8</v>
      </c>
      <c r="K66">
        <f t="shared" si="0"/>
        <v>16.8</v>
      </c>
      <c r="L66">
        <f>VLOOKUP(A66, ETR!A:K, 9, FALSE)</f>
        <v>16.8</v>
      </c>
      <c r="M66">
        <f>VLOOKUP(D66,ITT!A:D,4,FALSE)</f>
        <v>27</v>
      </c>
    </row>
    <row r="67" spans="1:13" x14ac:dyDescent="0.25">
      <c r="A67">
        <v>40470080</v>
      </c>
      <c r="B67" t="s">
        <v>3</v>
      </c>
      <c r="C67" t="s">
        <v>86</v>
      </c>
      <c r="D67" t="s">
        <v>9</v>
      </c>
      <c r="E67">
        <v>4800</v>
      </c>
      <c r="F67" t="s">
        <v>293</v>
      </c>
      <c r="G67">
        <v>4</v>
      </c>
      <c r="H67" s="2">
        <f>VLOOKUP(A67, ETR!A:K, 11, FALSE)</f>
        <v>6.0000000000000001E-3</v>
      </c>
      <c r="I67">
        <f>VLOOKUP(A67, ETR!A:K, 7, FALSE)</f>
        <v>2.1</v>
      </c>
      <c r="J67">
        <f>VLOOKUP(A67, ETR!A:K, 8, FALSE)</f>
        <v>8.4</v>
      </c>
      <c r="K67">
        <f t="shared" si="0"/>
        <v>16.8</v>
      </c>
      <c r="L67">
        <f>VLOOKUP(A67, ETR!A:K, 9, FALSE)</f>
        <v>17.7</v>
      </c>
      <c r="M67">
        <f>VLOOKUP(D67,ITT!A:D,4,FALSE)</f>
        <v>25.75</v>
      </c>
    </row>
    <row r="68" spans="1:13" x14ac:dyDescent="0.25">
      <c r="A68">
        <v>40470084</v>
      </c>
      <c r="B68" t="s">
        <v>3</v>
      </c>
      <c r="C68" t="s">
        <v>91</v>
      </c>
      <c r="D68" t="s">
        <v>76</v>
      </c>
      <c r="E68">
        <v>4700</v>
      </c>
      <c r="F68" t="s">
        <v>300</v>
      </c>
      <c r="G68">
        <v>10</v>
      </c>
      <c r="H68" s="2">
        <f>VLOOKUP(A68, ETR!A:K, 11, FALSE)</f>
        <v>2E-3</v>
      </c>
      <c r="I68">
        <f>VLOOKUP(A68, ETR!A:K, 7, FALSE)</f>
        <v>2.9</v>
      </c>
      <c r="J68">
        <f>VLOOKUP(A68, ETR!A:K, 8, FALSE)</f>
        <v>9.1999999999999993</v>
      </c>
      <c r="K68">
        <f t="shared" si="0"/>
        <v>16.45</v>
      </c>
      <c r="L68">
        <f>VLOOKUP(A68, ETR!A:K, 9, FALSE)</f>
        <v>17.3</v>
      </c>
      <c r="M68">
        <f>VLOOKUP(D68,ITT!A:D,4,FALSE)</f>
        <v>16</v>
      </c>
    </row>
    <row r="69" spans="1:13" x14ac:dyDescent="0.25">
      <c r="A69">
        <v>40470088</v>
      </c>
      <c r="B69" t="s">
        <v>3</v>
      </c>
      <c r="C69" t="s">
        <v>94</v>
      </c>
      <c r="D69" t="s">
        <v>31</v>
      </c>
      <c r="E69">
        <v>4600</v>
      </c>
      <c r="F69" t="s">
        <v>295</v>
      </c>
      <c r="G69">
        <v>5</v>
      </c>
      <c r="H69" s="2">
        <f>VLOOKUP(A69, ETR!A:K, 11, FALSE)</f>
        <v>2E-3</v>
      </c>
      <c r="I69">
        <f>VLOOKUP(A69, ETR!A:K, 7, FALSE)</f>
        <v>1.1000000000000001</v>
      </c>
      <c r="J69">
        <f>VLOOKUP(A69, ETR!A:K, 8, FALSE)</f>
        <v>5.4</v>
      </c>
      <c r="K69">
        <f t="shared" si="0"/>
        <v>16.099999999999998</v>
      </c>
      <c r="L69">
        <f>VLOOKUP(A69, ETR!A:K, 9, FALSE)</f>
        <v>11.8</v>
      </c>
      <c r="M69">
        <f>VLOOKUP(D69,ITT!A:D,4,FALSE)</f>
        <v>18</v>
      </c>
    </row>
    <row r="70" spans="1:13" x14ac:dyDescent="0.25">
      <c r="A70">
        <v>40470090</v>
      </c>
      <c r="B70" t="s">
        <v>3</v>
      </c>
      <c r="C70" t="s">
        <v>95</v>
      </c>
      <c r="D70" t="s">
        <v>16</v>
      </c>
      <c r="E70">
        <v>4600</v>
      </c>
      <c r="F70" t="s">
        <v>295</v>
      </c>
      <c r="G70">
        <v>5</v>
      </c>
      <c r="H70" s="2">
        <f>VLOOKUP(A70, ETR!A:K, 11, FALSE)</f>
        <v>0</v>
      </c>
      <c r="I70">
        <f>VLOOKUP(A70, ETR!A:K, 7, FALSE)</f>
        <v>0</v>
      </c>
      <c r="J70">
        <f>VLOOKUP(A70, ETR!A:K, 8, FALSE)</f>
        <v>2.1</v>
      </c>
      <c r="K70">
        <f t="shared" si="0"/>
        <v>16.099999999999998</v>
      </c>
      <c r="L70">
        <f>VLOOKUP(A70, ETR!A:K, 9, FALSE)</f>
        <v>6.6</v>
      </c>
      <c r="M70">
        <f>VLOOKUP(D70,ITT!A:D,4,FALSE)</f>
        <v>25.5</v>
      </c>
    </row>
    <row r="71" spans="1:13" x14ac:dyDescent="0.25">
      <c r="A71">
        <v>40470096</v>
      </c>
      <c r="B71" t="s">
        <v>3</v>
      </c>
      <c r="C71" t="s">
        <v>98</v>
      </c>
      <c r="D71" t="s">
        <v>26</v>
      </c>
      <c r="E71">
        <v>4500</v>
      </c>
      <c r="F71" t="s">
        <v>297</v>
      </c>
      <c r="G71">
        <v>2</v>
      </c>
      <c r="H71" s="2">
        <f>VLOOKUP(A71, ETR!A:K, 11, FALSE)</f>
        <v>2E-3</v>
      </c>
      <c r="I71">
        <f>VLOOKUP(A71, ETR!A:K, 7, FALSE)</f>
        <v>1.5</v>
      </c>
      <c r="J71">
        <f>VLOOKUP(A71, ETR!A:K, 8, FALSE)</f>
        <v>6.3</v>
      </c>
      <c r="K71">
        <f t="shared" si="0"/>
        <v>15.75</v>
      </c>
      <c r="L71">
        <f>VLOOKUP(A71, ETR!A:K, 9, FALSE)</f>
        <v>13.6</v>
      </c>
      <c r="M71">
        <f>VLOOKUP(D71,ITT!A:D,4,FALSE)</f>
        <v>25</v>
      </c>
    </row>
    <row r="72" spans="1:13" x14ac:dyDescent="0.25">
      <c r="A72">
        <v>40470092</v>
      </c>
      <c r="B72" t="s">
        <v>3</v>
      </c>
      <c r="C72" t="s">
        <v>102</v>
      </c>
      <c r="D72" t="s">
        <v>43</v>
      </c>
      <c r="E72">
        <v>4500</v>
      </c>
      <c r="F72" t="s">
        <v>292</v>
      </c>
      <c r="G72">
        <v>3</v>
      </c>
      <c r="H72" s="2">
        <f>VLOOKUP(A72, ETR!A:K, 11, FALSE)</f>
        <v>2E-3</v>
      </c>
      <c r="I72">
        <f>VLOOKUP(A72, ETR!A:K, 7, FALSE)</f>
        <v>1.7</v>
      </c>
      <c r="J72">
        <f>VLOOKUP(A72, ETR!A:K, 8, FALSE)</f>
        <v>6.9</v>
      </c>
      <c r="K72">
        <f t="shared" si="0"/>
        <v>15.75</v>
      </c>
      <c r="L72">
        <f>VLOOKUP(A72, ETR!A:K, 9, FALSE)</f>
        <v>14.7</v>
      </c>
      <c r="M72">
        <f>VLOOKUP(D72,ITT!A:D,4,FALSE)</f>
        <v>23.75</v>
      </c>
    </row>
    <row r="73" spans="1:13" x14ac:dyDescent="0.25">
      <c r="A73">
        <v>40470094</v>
      </c>
      <c r="B73" t="s">
        <v>3</v>
      </c>
      <c r="C73" t="s">
        <v>100</v>
      </c>
      <c r="D73" t="s">
        <v>7</v>
      </c>
      <c r="E73">
        <v>4500</v>
      </c>
      <c r="F73" t="s">
        <v>296</v>
      </c>
      <c r="G73">
        <v>7</v>
      </c>
      <c r="H73" s="2">
        <f>VLOOKUP(A73, ETR!A:K, 11, FALSE)</f>
        <v>0</v>
      </c>
      <c r="I73">
        <f>VLOOKUP(A73, ETR!A:K, 7, FALSE)</f>
        <v>0.5</v>
      </c>
      <c r="J73">
        <f>VLOOKUP(A73, ETR!A:K, 8, FALSE)</f>
        <v>3.8</v>
      </c>
      <c r="K73">
        <f t="shared" si="0"/>
        <v>15.75</v>
      </c>
      <c r="L73">
        <f>VLOOKUP(A73, ETR!A:K, 9, FALSE)</f>
        <v>9.3000000000000007</v>
      </c>
      <c r="M73">
        <f>VLOOKUP(D73,ITT!A:D,4,FALSE)</f>
        <v>20</v>
      </c>
    </row>
    <row r="74" spans="1:13" x14ac:dyDescent="0.25">
      <c r="A74">
        <v>40470098</v>
      </c>
      <c r="B74" t="s">
        <v>3</v>
      </c>
      <c r="C74" t="s">
        <v>106</v>
      </c>
      <c r="D74" t="s">
        <v>12</v>
      </c>
      <c r="E74">
        <v>4400</v>
      </c>
      <c r="F74" t="s">
        <v>298</v>
      </c>
      <c r="G74">
        <v>6</v>
      </c>
      <c r="H74" s="2">
        <f>VLOOKUP(A74, ETR!A:K, 11, FALSE)</f>
        <v>2E-3</v>
      </c>
      <c r="I74">
        <f>VLOOKUP(A74, ETR!A:K, 7, FALSE)</f>
        <v>1.9</v>
      </c>
      <c r="J74">
        <f>VLOOKUP(A74, ETR!A:K, 8, FALSE)</f>
        <v>7.4</v>
      </c>
      <c r="K74">
        <f t="shared" si="0"/>
        <v>15.400000000000002</v>
      </c>
      <c r="L74">
        <f>VLOOKUP(A74, ETR!A:K, 9, FALSE)</f>
        <v>15.5</v>
      </c>
      <c r="M74">
        <f>VLOOKUP(D74,ITT!A:D,4,FALSE)</f>
        <v>25.5</v>
      </c>
    </row>
    <row r="75" spans="1:13" x14ac:dyDescent="0.25">
      <c r="A75">
        <v>40470100</v>
      </c>
      <c r="B75" t="s">
        <v>3</v>
      </c>
      <c r="C75" t="s">
        <v>108</v>
      </c>
      <c r="D75" t="s">
        <v>25</v>
      </c>
      <c r="E75">
        <v>4400</v>
      </c>
      <c r="F75" t="s">
        <v>299</v>
      </c>
      <c r="G75">
        <v>8</v>
      </c>
      <c r="H75" s="2">
        <f>VLOOKUP(A75, ETR!A:K, 11, FALSE)</f>
        <v>0</v>
      </c>
      <c r="I75">
        <f>VLOOKUP(A75, ETR!A:K, 7, FALSE)</f>
        <v>0.7</v>
      </c>
      <c r="J75">
        <f>VLOOKUP(A75, ETR!A:K, 8, FALSE)</f>
        <v>4.5999999999999996</v>
      </c>
      <c r="K75">
        <f t="shared" ref="K75:K106" si="1">(E75/1000)*3.5</f>
        <v>15.400000000000002</v>
      </c>
      <c r="L75">
        <f>VLOOKUP(A75, ETR!A:K, 9, FALSE)</f>
        <v>11</v>
      </c>
      <c r="M75">
        <f>VLOOKUP(D75,ITT!A:D,4,FALSE)</f>
        <v>25.5</v>
      </c>
    </row>
    <row r="76" spans="1:13" x14ac:dyDescent="0.25">
      <c r="A76">
        <v>40470104</v>
      </c>
      <c r="B76" t="s">
        <v>3</v>
      </c>
      <c r="C76" t="s">
        <v>112</v>
      </c>
      <c r="D76" t="s">
        <v>33</v>
      </c>
      <c r="E76">
        <v>4300</v>
      </c>
      <c r="F76" t="s">
        <v>292</v>
      </c>
      <c r="G76">
        <v>3</v>
      </c>
      <c r="H76" s="2">
        <f>VLOOKUP(A76, ETR!A:K, 11, FALSE)</f>
        <v>2E-3</v>
      </c>
      <c r="I76">
        <f>VLOOKUP(A76, ETR!A:K, 7, FALSE)</f>
        <v>1</v>
      </c>
      <c r="J76">
        <f>VLOOKUP(A76, ETR!A:K, 8, FALSE)</f>
        <v>5.2</v>
      </c>
      <c r="K76">
        <f t="shared" si="1"/>
        <v>15.049999999999999</v>
      </c>
      <c r="L76">
        <f>VLOOKUP(A76, ETR!A:K, 9, FALSE)</f>
        <v>11</v>
      </c>
      <c r="M76">
        <f>VLOOKUP(D76,ITT!A:D,4,FALSE)</f>
        <v>16.75</v>
      </c>
    </row>
    <row r="77" spans="1:13" x14ac:dyDescent="0.25">
      <c r="A77">
        <v>40470102</v>
      </c>
      <c r="B77" t="s">
        <v>3</v>
      </c>
      <c r="C77" t="s">
        <v>109</v>
      </c>
      <c r="D77" t="s">
        <v>21</v>
      </c>
      <c r="E77">
        <v>4300</v>
      </c>
      <c r="F77" t="s">
        <v>293</v>
      </c>
      <c r="G77">
        <v>4</v>
      </c>
      <c r="H77" s="2">
        <f>VLOOKUP(A77, ETR!A:K, 11, FALSE)</f>
        <v>0</v>
      </c>
      <c r="I77">
        <f>VLOOKUP(A77, ETR!A:K, 7, FALSE)</f>
        <v>0.5</v>
      </c>
      <c r="J77">
        <f>VLOOKUP(A77, ETR!A:K, 8, FALSE)</f>
        <v>4</v>
      </c>
      <c r="K77">
        <f t="shared" si="1"/>
        <v>15.049999999999999</v>
      </c>
      <c r="L77">
        <f>VLOOKUP(A77, ETR!A:K, 9, FALSE)</f>
        <v>9.5</v>
      </c>
      <c r="M77">
        <f>VLOOKUP(D77,ITT!A:D,4,FALSE)</f>
        <v>18.75</v>
      </c>
    </row>
    <row r="78" spans="1:13" x14ac:dyDescent="0.25">
      <c r="A78">
        <v>40470106</v>
      </c>
      <c r="B78" t="s">
        <v>3</v>
      </c>
      <c r="C78" t="s">
        <v>116</v>
      </c>
      <c r="D78" t="s">
        <v>19</v>
      </c>
      <c r="E78">
        <v>4200</v>
      </c>
      <c r="F78" t="s">
        <v>294</v>
      </c>
      <c r="G78">
        <v>1</v>
      </c>
      <c r="H78" s="2">
        <f>VLOOKUP(A78, ETR!A:K, 11, FALSE)</f>
        <v>0</v>
      </c>
      <c r="I78">
        <f>VLOOKUP(A78, ETR!A:K, 7, FALSE)</f>
        <v>0</v>
      </c>
      <c r="J78">
        <f>VLOOKUP(A78, ETR!A:K, 8, FALSE)</f>
        <v>2.1</v>
      </c>
      <c r="K78">
        <f t="shared" si="1"/>
        <v>14.700000000000001</v>
      </c>
      <c r="L78">
        <f>VLOOKUP(A78, ETR!A:K, 9, FALSE)</f>
        <v>6.6</v>
      </c>
      <c r="M78">
        <f>VLOOKUP(D78,ITT!A:D,4,FALSE)</f>
        <v>27</v>
      </c>
    </row>
    <row r="79" spans="1:13" x14ac:dyDescent="0.25">
      <c r="A79">
        <v>40470108</v>
      </c>
      <c r="B79" t="s">
        <v>3</v>
      </c>
      <c r="C79" t="s">
        <v>119</v>
      </c>
      <c r="D79" t="s">
        <v>57</v>
      </c>
      <c r="E79">
        <v>4200</v>
      </c>
      <c r="F79" t="s">
        <v>299</v>
      </c>
      <c r="G79">
        <v>8</v>
      </c>
      <c r="H79" s="2">
        <f>VLOOKUP(A79, ETR!A:K, 11, FALSE)</f>
        <v>1E-3</v>
      </c>
      <c r="I79">
        <f>VLOOKUP(A79, ETR!A:K, 7, FALSE)</f>
        <v>0</v>
      </c>
      <c r="J79">
        <f>VLOOKUP(A79, ETR!A:K, 8, FALSE)</f>
        <v>2.2000000000000002</v>
      </c>
      <c r="K79">
        <f t="shared" si="1"/>
        <v>14.700000000000001</v>
      </c>
      <c r="L79">
        <f>VLOOKUP(A79, ETR!A:K, 9, FALSE)</f>
        <v>6.6</v>
      </c>
      <c r="M79">
        <f>VLOOKUP(D79,ITT!A:D,4,FALSE)</f>
        <v>21</v>
      </c>
    </row>
    <row r="80" spans="1:13" x14ac:dyDescent="0.25">
      <c r="A80">
        <v>40470110</v>
      </c>
      <c r="B80" t="s">
        <v>3</v>
      </c>
      <c r="C80" t="s">
        <v>122</v>
      </c>
      <c r="D80" t="s">
        <v>47</v>
      </c>
      <c r="E80">
        <v>4100</v>
      </c>
      <c r="F80" t="s">
        <v>298</v>
      </c>
      <c r="G80">
        <v>6</v>
      </c>
      <c r="H80" s="2">
        <f>VLOOKUP(A80, ETR!A:K, 11, FALSE)</f>
        <v>2E-3</v>
      </c>
      <c r="I80">
        <f>VLOOKUP(A80, ETR!A:K, 7, FALSE)</f>
        <v>1.8</v>
      </c>
      <c r="J80">
        <f>VLOOKUP(A80, ETR!A:K, 8, FALSE)</f>
        <v>6.9</v>
      </c>
      <c r="K80">
        <f t="shared" si="1"/>
        <v>14.349999999999998</v>
      </c>
      <c r="L80">
        <f>VLOOKUP(A80, ETR!A:K, 9, FALSE)</f>
        <v>14.2</v>
      </c>
      <c r="M80">
        <f>VLOOKUP(D80,ITT!A:D,4,FALSE)</f>
        <v>19</v>
      </c>
    </row>
    <row r="81" spans="1:15" x14ac:dyDescent="0.25">
      <c r="A81">
        <v>40470656</v>
      </c>
      <c r="B81" t="s">
        <v>51</v>
      </c>
      <c r="C81" t="s">
        <v>52</v>
      </c>
      <c r="D81" t="s">
        <v>14</v>
      </c>
      <c r="E81">
        <v>6000</v>
      </c>
      <c r="F81" t="s">
        <v>301</v>
      </c>
      <c r="G81">
        <v>9</v>
      </c>
      <c r="H81" s="2">
        <f>VLOOKUP(A81, ETR!A:K, 11, FALSE)</f>
        <v>1.4E-2</v>
      </c>
      <c r="I81">
        <f>VLOOKUP(A81, ETR!A:K, 7, FALSE)</f>
        <v>3.7</v>
      </c>
      <c r="J81">
        <f>VLOOKUP(A81, ETR!A:K, 8, FALSE)</f>
        <v>10.8</v>
      </c>
      <c r="K81">
        <f t="shared" si="1"/>
        <v>21</v>
      </c>
      <c r="L81">
        <f>VLOOKUP(A81, ETR!A:K, 9, FALSE)</f>
        <v>19.5</v>
      </c>
      <c r="M81">
        <f>VLOOKUP(D81,ITT!A:D,4,FALSE)</f>
        <v>23.5</v>
      </c>
      <c r="N81" t="s">
        <v>421</v>
      </c>
      <c r="O81" t="s">
        <v>417</v>
      </c>
    </row>
    <row r="82" spans="1:15" x14ac:dyDescent="0.25">
      <c r="A82">
        <v>40470658</v>
      </c>
      <c r="B82" t="s">
        <v>51</v>
      </c>
      <c r="C82" t="s">
        <v>67</v>
      </c>
      <c r="D82" t="s">
        <v>5</v>
      </c>
      <c r="E82">
        <v>5500</v>
      </c>
      <c r="F82" t="s">
        <v>300</v>
      </c>
      <c r="G82">
        <v>10</v>
      </c>
      <c r="H82" s="2">
        <f>VLOOKUP(A82, ETR!A:K, 11, FALSE)</f>
        <v>0.12</v>
      </c>
      <c r="I82">
        <f>VLOOKUP(A82, ETR!A:K, 7, FALSE)</f>
        <v>5.0999999999999996</v>
      </c>
      <c r="J82">
        <f>VLOOKUP(A82, ETR!A:K, 8, FALSE)</f>
        <v>14.4</v>
      </c>
      <c r="K82">
        <f t="shared" si="1"/>
        <v>19.25</v>
      </c>
      <c r="L82">
        <f>VLOOKUP(A82, ETR!A:K, 9, FALSE)</f>
        <v>26.3</v>
      </c>
      <c r="M82">
        <f>VLOOKUP(D82,ITT!A:D,4,FALSE)</f>
        <v>30.5</v>
      </c>
      <c r="N82" t="s">
        <v>376</v>
      </c>
    </row>
    <row r="83" spans="1:15" x14ac:dyDescent="0.25">
      <c r="A83">
        <v>40470660</v>
      </c>
      <c r="B83" t="s">
        <v>51</v>
      </c>
      <c r="C83" t="s">
        <v>101</v>
      </c>
      <c r="D83" t="s">
        <v>7</v>
      </c>
      <c r="E83">
        <v>4500</v>
      </c>
      <c r="F83" t="s">
        <v>296</v>
      </c>
      <c r="G83">
        <v>7</v>
      </c>
      <c r="H83" s="2">
        <f>VLOOKUP(A83, ETR!A:K, 11, FALSE)</f>
        <v>0.10299999999999999</v>
      </c>
      <c r="I83">
        <f>VLOOKUP(A83, ETR!A:K, 7, FALSE)</f>
        <v>4.0999999999999996</v>
      </c>
      <c r="J83">
        <f>VLOOKUP(A83, ETR!A:K, 8, FALSE)</f>
        <v>12.8</v>
      </c>
      <c r="K83">
        <f t="shared" si="1"/>
        <v>15.75</v>
      </c>
      <c r="L83">
        <f>VLOOKUP(A83, ETR!A:K, 9, FALSE)</f>
        <v>23.8</v>
      </c>
      <c r="M83">
        <f>VLOOKUP(D83,ITT!A:D,4,FALSE)</f>
        <v>20</v>
      </c>
      <c r="N83" t="s">
        <v>376</v>
      </c>
      <c r="O83" t="s">
        <v>408</v>
      </c>
    </row>
    <row r="84" spans="1:15" x14ac:dyDescent="0.25">
      <c r="A84">
        <v>40470662</v>
      </c>
      <c r="B84" t="s">
        <v>51</v>
      </c>
      <c r="C84" t="s">
        <v>107</v>
      </c>
      <c r="D84" t="s">
        <v>33</v>
      </c>
      <c r="E84">
        <v>4400</v>
      </c>
      <c r="F84" t="s">
        <v>292</v>
      </c>
      <c r="G84">
        <v>3</v>
      </c>
      <c r="H84" s="2">
        <f>VLOOKUP(A84, ETR!A:K, 11, FALSE)</f>
        <v>0.01</v>
      </c>
      <c r="I84">
        <f>VLOOKUP(A84, ETR!A:K, 7, FALSE)</f>
        <v>2.6</v>
      </c>
      <c r="J84">
        <f>VLOOKUP(A84, ETR!A:K, 8, FALSE)</f>
        <v>8.6</v>
      </c>
      <c r="K84">
        <f t="shared" si="1"/>
        <v>15.400000000000002</v>
      </c>
      <c r="L84">
        <f>VLOOKUP(A84, ETR!A:K, 9, FALSE)</f>
        <v>16.100000000000001</v>
      </c>
      <c r="M84">
        <f>VLOOKUP(D84,ITT!A:D,4,FALSE)</f>
        <v>16.75</v>
      </c>
    </row>
    <row r="85" spans="1:15" x14ac:dyDescent="0.25">
      <c r="A85">
        <v>40470664</v>
      </c>
      <c r="B85" t="s">
        <v>51</v>
      </c>
      <c r="C85" s="1" t="s">
        <v>111</v>
      </c>
      <c r="D85" t="s">
        <v>19</v>
      </c>
      <c r="E85">
        <v>4300</v>
      </c>
      <c r="F85" t="s">
        <v>294</v>
      </c>
      <c r="G85">
        <v>1</v>
      </c>
      <c r="H85" s="2">
        <f>VLOOKUP(A85, ETR!A:K, 11, FALSE)</f>
        <v>3.4000000000000002E-2</v>
      </c>
      <c r="I85">
        <f>VLOOKUP(A85, ETR!A:K, 7, FALSE)</f>
        <v>2.4</v>
      </c>
      <c r="J85">
        <f>VLOOKUP(A85, ETR!A:K, 8, FALSE)</f>
        <v>9.1999999999999993</v>
      </c>
      <c r="K85">
        <f t="shared" si="1"/>
        <v>15.049999999999999</v>
      </c>
      <c r="L85">
        <f>VLOOKUP(A85, ETR!A:K, 9, FALSE)</f>
        <v>18.100000000000001</v>
      </c>
      <c r="M85">
        <f>VLOOKUP(D85,ITT!A:D,4,FALSE)</f>
        <v>27</v>
      </c>
      <c r="O85" t="s">
        <v>379</v>
      </c>
    </row>
    <row r="86" spans="1:15" x14ac:dyDescent="0.25">
      <c r="A86">
        <v>40470666</v>
      </c>
      <c r="B86" t="s">
        <v>51</v>
      </c>
      <c r="C86" t="s">
        <v>118</v>
      </c>
      <c r="D86" t="s">
        <v>16</v>
      </c>
      <c r="E86">
        <v>4200</v>
      </c>
      <c r="F86" t="s">
        <v>295</v>
      </c>
      <c r="G86">
        <v>5</v>
      </c>
      <c r="H86" s="2">
        <f>VLOOKUP(A86, ETR!A:K, 11, FALSE)</f>
        <v>0.19600000000000001</v>
      </c>
      <c r="I86">
        <f>VLOOKUP(A86, ETR!A:K, 7, FALSE)</f>
        <v>5</v>
      </c>
      <c r="J86">
        <f>VLOOKUP(A86, ETR!A:K, 8, FALSE)</f>
        <v>13.7</v>
      </c>
      <c r="K86">
        <f t="shared" si="1"/>
        <v>14.700000000000001</v>
      </c>
      <c r="L86">
        <f>VLOOKUP(A86, ETR!A:K, 9, FALSE)</f>
        <v>24.6</v>
      </c>
      <c r="M86">
        <f>VLOOKUP(D86,ITT!A:D,4,FALSE)</f>
        <v>25.5</v>
      </c>
      <c r="O86" t="s">
        <v>405</v>
      </c>
    </row>
    <row r="87" spans="1:15" x14ac:dyDescent="0.25">
      <c r="A87">
        <v>40470668</v>
      </c>
      <c r="B87" t="s">
        <v>51</v>
      </c>
      <c r="C87" t="s">
        <v>124</v>
      </c>
      <c r="D87" t="s">
        <v>45</v>
      </c>
      <c r="E87">
        <v>4100</v>
      </c>
      <c r="F87" t="s">
        <v>301</v>
      </c>
      <c r="G87">
        <v>9</v>
      </c>
      <c r="H87" s="2">
        <f>VLOOKUP(A87, ETR!A:K, 11, FALSE)</f>
        <v>0.02</v>
      </c>
      <c r="I87">
        <f>VLOOKUP(A87, ETR!A:K, 7, FALSE)</f>
        <v>2.9</v>
      </c>
      <c r="J87">
        <f>VLOOKUP(A87, ETR!A:K, 8, FALSE)</f>
        <v>9.8000000000000007</v>
      </c>
      <c r="K87">
        <f t="shared" si="1"/>
        <v>14.349999999999998</v>
      </c>
      <c r="L87">
        <f>VLOOKUP(A87, ETR!A:K, 9, FALSE)</f>
        <v>18.8</v>
      </c>
      <c r="M87">
        <f>VLOOKUP(D87,ITT!A:D,4,FALSE)</f>
        <v>27</v>
      </c>
    </row>
    <row r="88" spans="1:15" x14ac:dyDescent="0.25">
      <c r="A88">
        <v>40470672</v>
      </c>
      <c r="B88" t="s">
        <v>51</v>
      </c>
      <c r="C88" t="s">
        <v>155</v>
      </c>
      <c r="D88" t="s">
        <v>9</v>
      </c>
      <c r="E88">
        <v>3900</v>
      </c>
      <c r="F88" t="s">
        <v>293</v>
      </c>
      <c r="G88">
        <v>4</v>
      </c>
      <c r="H88" s="2">
        <f>VLOOKUP(A88, ETR!A:K, 11, FALSE)</f>
        <v>7.9000000000000001E-2</v>
      </c>
      <c r="I88">
        <f>VLOOKUP(A88, ETR!A:K, 7, FALSE)</f>
        <v>3.4</v>
      </c>
      <c r="J88">
        <f>VLOOKUP(A88, ETR!A:K, 8, FALSE)</f>
        <v>10.8</v>
      </c>
      <c r="K88">
        <f t="shared" si="1"/>
        <v>13.65</v>
      </c>
      <c r="L88">
        <f>VLOOKUP(A88, ETR!A:K, 9, FALSE)</f>
        <v>20.3</v>
      </c>
      <c r="M88">
        <f>VLOOKUP(D88,ITT!A:D,4,FALSE)</f>
        <v>25.75</v>
      </c>
    </row>
    <row r="89" spans="1:15" x14ac:dyDescent="0.25">
      <c r="A89">
        <v>40470674</v>
      </c>
      <c r="B89" t="s">
        <v>51</v>
      </c>
      <c r="C89" t="s">
        <v>161</v>
      </c>
      <c r="D89" t="s">
        <v>43</v>
      </c>
      <c r="E89">
        <v>3800</v>
      </c>
      <c r="F89" t="s">
        <v>292</v>
      </c>
      <c r="G89">
        <v>3</v>
      </c>
      <c r="H89" s="2">
        <f>VLOOKUP(A89, ETR!A:K, 11, FALSE)</f>
        <v>3.5999999999999997E-2</v>
      </c>
      <c r="I89">
        <f>VLOOKUP(A89, ETR!A:K, 7, FALSE)</f>
        <v>2.4</v>
      </c>
      <c r="J89">
        <f>VLOOKUP(A89, ETR!A:K, 8, FALSE)</f>
        <v>9.8000000000000007</v>
      </c>
      <c r="K89">
        <f t="shared" si="1"/>
        <v>13.299999999999999</v>
      </c>
      <c r="L89">
        <f>VLOOKUP(A89, ETR!A:K, 9, FALSE)</f>
        <v>19.3</v>
      </c>
      <c r="M89">
        <f>VLOOKUP(D89,ITT!A:D,4,FALSE)</f>
        <v>23.75</v>
      </c>
      <c r="O89" t="s">
        <v>398</v>
      </c>
    </row>
    <row r="90" spans="1:15" x14ac:dyDescent="0.25">
      <c r="A90">
        <v>40470676</v>
      </c>
      <c r="B90" t="s">
        <v>51</v>
      </c>
      <c r="C90" t="s">
        <v>166</v>
      </c>
      <c r="D90" t="s">
        <v>31</v>
      </c>
      <c r="E90">
        <v>3700</v>
      </c>
      <c r="F90" t="s">
        <v>295</v>
      </c>
      <c r="G90">
        <v>5</v>
      </c>
      <c r="H90" s="2">
        <f>VLOOKUP(A90, ETR!A:K, 11, FALSE)</f>
        <v>2.8000000000000001E-2</v>
      </c>
      <c r="I90">
        <f>VLOOKUP(A90, ETR!A:K, 7, FALSE)</f>
        <v>2.4</v>
      </c>
      <c r="J90">
        <f>VLOOKUP(A90, ETR!A:K, 8, FALSE)</f>
        <v>8.9</v>
      </c>
      <c r="K90">
        <f t="shared" si="1"/>
        <v>12.950000000000001</v>
      </c>
      <c r="L90">
        <f>VLOOKUP(A90, ETR!A:K, 9, FALSE)</f>
        <v>17.2</v>
      </c>
      <c r="M90">
        <f>VLOOKUP(D90,ITT!A:D,4,FALSE)</f>
        <v>18</v>
      </c>
      <c r="N90" t="s">
        <v>376</v>
      </c>
      <c r="O90" t="s">
        <v>416</v>
      </c>
    </row>
    <row r="91" spans="1:15" x14ac:dyDescent="0.25">
      <c r="A91">
        <v>40470678</v>
      </c>
      <c r="B91" t="s">
        <v>51</v>
      </c>
      <c r="C91" t="s">
        <v>168</v>
      </c>
      <c r="D91" t="s">
        <v>26</v>
      </c>
      <c r="E91">
        <v>3600</v>
      </c>
      <c r="F91" t="s">
        <v>297</v>
      </c>
      <c r="G91">
        <v>2</v>
      </c>
      <c r="H91" s="2">
        <f>VLOOKUP(A91, ETR!A:K, 11, FALSE)</f>
        <v>0.02</v>
      </c>
      <c r="I91">
        <f>VLOOKUP(A91, ETR!A:K, 7, FALSE)</f>
        <v>1.4</v>
      </c>
      <c r="J91">
        <f>VLOOKUP(A91, ETR!A:K, 8, FALSE)</f>
        <v>7.3</v>
      </c>
      <c r="K91">
        <f t="shared" si="1"/>
        <v>12.6</v>
      </c>
      <c r="L91">
        <f>VLOOKUP(A91, ETR!A:K, 9, FALSE)</f>
        <v>14.9</v>
      </c>
      <c r="M91">
        <f>VLOOKUP(D91,ITT!A:D,4,FALSE)</f>
        <v>25</v>
      </c>
    </row>
    <row r="92" spans="1:15" x14ac:dyDescent="0.25">
      <c r="A92">
        <v>40470680</v>
      </c>
      <c r="B92" t="s">
        <v>51</v>
      </c>
      <c r="C92" s="1" t="s">
        <v>174</v>
      </c>
      <c r="D92" t="s">
        <v>47</v>
      </c>
      <c r="E92">
        <v>3500</v>
      </c>
      <c r="F92" t="s">
        <v>298</v>
      </c>
      <c r="G92">
        <v>6</v>
      </c>
      <c r="H92" s="2">
        <f>VLOOKUP(A92, ETR!A:K, 11, FALSE)</f>
        <v>7.0000000000000007E-2</v>
      </c>
      <c r="I92">
        <f>VLOOKUP(A92, ETR!A:K, 7, FALSE)</f>
        <v>3.2</v>
      </c>
      <c r="J92">
        <f>VLOOKUP(A92, ETR!A:K, 8, FALSE)</f>
        <v>10</v>
      </c>
      <c r="K92">
        <f t="shared" si="1"/>
        <v>12.25</v>
      </c>
      <c r="L92">
        <f>VLOOKUP(A92, ETR!A:K, 9, FALSE)</f>
        <v>18.3</v>
      </c>
      <c r="M92">
        <f>VLOOKUP(D92,ITT!A:D,4,FALSE)</f>
        <v>19</v>
      </c>
    </row>
    <row r="93" spans="1:15" x14ac:dyDescent="0.25">
      <c r="A93">
        <v>40470682</v>
      </c>
      <c r="B93" t="s">
        <v>51</v>
      </c>
      <c r="C93" s="1" t="s">
        <v>178</v>
      </c>
      <c r="D93" t="s">
        <v>33</v>
      </c>
      <c r="E93">
        <v>3400</v>
      </c>
      <c r="F93" t="s">
        <v>292</v>
      </c>
      <c r="G93">
        <v>3</v>
      </c>
      <c r="H93" s="2">
        <f>VLOOKUP(A93, ETR!A:K, 11, FALSE)</f>
        <v>5.0000000000000001E-3</v>
      </c>
      <c r="I93">
        <f>VLOOKUP(A93, ETR!A:K, 7, FALSE)</f>
        <v>1.8</v>
      </c>
      <c r="J93">
        <f>VLOOKUP(A93, ETR!A:K, 8, FALSE)</f>
        <v>7.3</v>
      </c>
      <c r="K93">
        <f t="shared" si="1"/>
        <v>11.9</v>
      </c>
      <c r="L93">
        <f>VLOOKUP(A93, ETR!A:K, 9, FALSE)</f>
        <v>14</v>
      </c>
      <c r="M93">
        <f>VLOOKUP(D93,ITT!A:D,4,FALSE)</f>
        <v>16.75</v>
      </c>
    </row>
    <row r="94" spans="1:15" x14ac:dyDescent="0.25">
      <c r="A94">
        <v>40470684</v>
      </c>
      <c r="B94" t="s">
        <v>51</v>
      </c>
      <c r="C94" t="s">
        <v>179</v>
      </c>
      <c r="D94" t="s">
        <v>25</v>
      </c>
      <c r="E94">
        <v>3400</v>
      </c>
      <c r="F94" t="s">
        <v>299</v>
      </c>
      <c r="G94">
        <v>8</v>
      </c>
      <c r="H94" s="2">
        <f>VLOOKUP(A94, ETR!A:K, 11, FALSE)</f>
        <v>0.114</v>
      </c>
      <c r="I94">
        <f>VLOOKUP(A94, ETR!A:K, 7, FALSE)</f>
        <v>3.2</v>
      </c>
      <c r="J94">
        <f>VLOOKUP(A94, ETR!A:K, 8, FALSE)</f>
        <v>10.3</v>
      </c>
      <c r="K94">
        <f t="shared" si="1"/>
        <v>11.9</v>
      </c>
      <c r="L94">
        <f>VLOOKUP(A94, ETR!A:K, 9, FALSE)</f>
        <v>19.600000000000001</v>
      </c>
      <c r="M94">
        <f>VLOOKUP(D94,ITT!A:D,4,FALSE)</f>
        <v>25.5</v>
      </c>
    </row>
    <row r="95" spans="1:15" x14ac:dyDescent="0.25">
      <c r="A95">
        <v>40470686</v>
      </c>
      <c r="B95" t="s">
        <v>51</v>
      </c>
      <c r="C95" t="s">
        <v>185</v>
      </c>
      <c r="D95" t="s">
        <v>22</v>
      </c>
      <c r="E95">
        <v>3300</v>
      </c>
      <c r="F95" t="s">
        <v>296</v>
      </c>
      <c r="G95">
        <v>7</v>
      </c>
      <c r="H95" s="2">
        <f>VLOOKUP(A95, ETR!A:K, 11, FALSE)</f>
        <v>0.23899999999999999</v>
      </c>
      <c r="I95">
        <f>VLOOKUP(A95, ETR!A:K, 7, FALSE)</f>
        <v>4</v>
      </c>
      <c r="J95">
        <f>VLOOKUP(A95, ETR!A:K, 8, FALSE)</f>
        <v>11.9</v>
      </c>
      <c r="K95">
        <f t="shared" si="1"/>
        <v>11.549999999999999</v>
      </c>
      <c r="L95">
        <f>VLOOKUP(A95, ETR!A:K, 9, FALSE)</f>
        <v>21.9</v>
      </c>
      <c r="M95">
        <f>VLOOKUP(D95,ITT!A:D,4,FALSE)</f>
        <v>21.5</v>
      </c>
      <c r="O95" t="s">
        <v>391</v>
      </c>
    </row>
    <row r="96" spans="1:15" x14ac:dyDescent="0.25">
      <c r="A96">
        <v>40470688</v>
      </c>
      <c r="B96" t="s">
        <v>51</v>
      </c>
      <c r="C96" t="s">
        <v>188</v>
      </c>
      <c r="D96" t="s">
        <v>57</v>
      </c>
      <c r="E96">
        <v>3300</v>
      </c>
      <c r="F96" t="s">
        <v>299</v>
      </c>
      <c r="G96">
        <v>8</v>
      </c>
      <c r="H96" s="2">
        <f>VLOOKUP(A96, ETR!A:K, 11, FALSE)</f>
        <v>7.6999999999999999E-2</v>
      </c>
      <c r="I96">
        <f>VLOOKUP(A96, ETR!A:K, 7, FALSE)</f>
        <v>2.7</v>
      </c>
      <c r="J96">
        <f>VLOOKUP(A96, ETR!A:K, 8, FALSE)</f>
        <v>9.1999999999999993</v>
      </c>
      <c r="K96">
        <f t="shared" si="1"/>
        <v>11.549999999999999</v>
      </c>
      <c r="L96">
        <f>VLOOKUP(A96, ETR!A:K, 9, FALSE)</f>
        <v>17.399999999999999</v>
      </c>
      <c r="M96">
        <f>VLOOKUP(D96,ITT!A:D,4,FALSE)</f>
        <v>21</v>
      </c>
      <c r="N96" t="s">
        <v>376</v>
      </c>
      <c r="O96" t="s">
        <v>402</v>
      </c>
    </row>
    <row r="97" spans="1:15" x14ac:dyDescent="0.25">
      <c r="A97">
        <v>40470690</v>
      </c>
      <c r="B97" t="s">
        <v>51</v>
      </c>
      <c r="C97" t="s">
        <v>193</v>
      </c>
      <c r="D97" t="s">
        <v>12</v>
      </c>
      <c r="E97">
        <v>3200</v>
      </c>
      <c r="F97" t="s">
        <v>298</v>
      </c>
      <c r="G97">
        <v>6</v>
      </c>
      <c r="H97" s="2">
        <f>VLOOKUP(A97, ETR!A:K, 11, FALSE)</f>
        <v>1.2E-2</v>
      </c>
      <c r="I97">
        <f>VLOOKUP(A97, ETR!A:K, 7, FALSE)</f>
        <v>1.5</v>
      </c>
      <c r="J97">
        <f>VLOOKUP(A97, ETR!A:K, 8, FALSE)</f>
        <v>6.7</v>
      </c>
      <c r="K97">
        <f t="shared" si="1"/>
        <v>11.200000000000001</v>
      </c>
      <c r="L97">
        <f>VLOOKUP(A97, ETR!A:K, 9, FALSE)</f>
        <v>13.6</v>
      </c>
      <c r="M97">
        <f>VLOOKUP(D97,ITT!A:D,4,FALSE)</f>
        <v>25.5</v>
      </c>
    </row>
    <row r="98" spans="1:15" x14ac:dyDescent="0.25">
      <c r="A98">
        <v>40470692</v>
      </c>
      <c r="B98" t="s">
        <v>51</v>
      </c>
      <c r="C98" t="s">
        <v>198</v>
      </c>
      <c r="D98" t="s">
        <v>76</v>
      </c>
      <c r="E98">
        <v>3200</v>
      </c>
      <c r="F98" t="s">
        <v>300</v>
      </c>
      <c r="G98">
        <v>10</v>
      </c>
      <c r="H98" s="2">
        <f>VLOOKUP(A98, ETR!A:K, 11, FALSE)</f>
        <v>0.01</v>
      </c>
      <c r="I98">
        <f>VLOOKUP(A98, ETR!A:K, 7, FALSE)</f>
        <v>1.8</v>
      </c>
      <c r="J98">
        <f>VLOOKUP(A98, ETR!A:K, 8, FALSE)</f>
        <v>7.3</v>
      </c>
      <c r="K98">
        <f t="shared" si="1"/>
        <v>11.200000000000001</v>
      </c>
      <c r="L98">
        <f>VLOOKUP(A98, ETR!A:K, 9, FALSE)</f>
        <v>14.2</v>
      </c>
      <c r="M98">
        <f>VLOOKUP(D98,ITT!A:D,4,FALSE)</f>
        <v>16</v>
      </c>
    </row>
    <row r="99" spans="1:15" x14ac:dyDescent="0.25">
      <c r="A99">
        <v>40470696</v>
      </c>
      <c r="B99" t="s">
        <v>51</v>
      </c>
      <c r="C99" t="s">
        <v>204</v>
      </c>
      <c r="D99" t="s">
        <v>76</v>
      </c>
      <c r="E99">
        <v>3100</v>
      </c>
      <c r="F99" t="s">
        <v>300</v>
      </c>
      <c r="G99">
        <v>10</v>
      </c>
      <c r="H99" s="2">
        <f>VLOOKUP(A99, ETR!A:K, 11, FALSE)</f>
        <v>4.0000000000000001E-3</v>
      </c>
      <c r="I99">
        <f>VLOOKUP(A99, ETR!A:K, 7, FALSE)</f>
        <v>1</v>
      </c>
      <c r="J99">
        <f>VLOOKUP(A99, ETR!A:K, 8, FALSE)</f>
        <v>5.7</v>
      </c>
      <c r="K99">
        <f t="shared" si="1"/>
        <v>10.85</v>
      </c>
      <c r="L99">
        <f>VLOOKUP(A99, ETR!A:K, 9, FALSE)</f>
        <v>12</v>
      </c>
      <c r="M99">
        <f>VLOOKUP(D99,ITT!A:D,4,FALSE)</f>
        <v>16</v>
      </c>
    </row>
    <row r="100" spans="1:15" x14ac:dyDescent="0.25">
      <c r="A100">
        <v>40470698</v>
      </c>
      <c r="B100" t="s">
        <v>51</v>
      </c>
      <c r="C100" t="s">
        <v>210</v>
      </c>
      <c r="D100" t="s">
        <v>39</v>
      </c>
      <c r="E100">
        <v>3000</v>
      </c>
      <c r="F100" t="s">
        <v>297</v>
      </c>
      <c r="G100">
        <v>2</v>
      </c>
      <c r="H100" s="2">
        <f>VLOOKUP(A100, ETR!A:K, 11, FALSE)</f>
        <v>2.1999999999999999E-2</v>
      </c>
      <c r="I100">
        <f>VLOOKUP(A100, ETR!A:K, 7, FALSE)</f>
        <v>1.8</v>
      </c>
      <c r="J100">
        <f>VLOOKUP(A100, ETR!A:K, 8, FALSE)</f>
        <v>7.8</v>
      </c>
      <c r="K100">
        <f t="shared" si="1"/>
        <v>10.5</v>
      </c>
      <c r="L100">
        <f>VLOOKUP(A100, ETR!A:K, 9, FALSE)</f>
        <v>15.5</v>
      </c>
      <c r="M100">
        <f>VLOOKUP(D100,ITT!A:D,4,FALSE)</f>
        <v>21.5</v>
      </c>
    </row>
    <row r="101" spans="1:15" x14ac:dyDescent="0.25">
      <c r="A101">
        <v>40470700</v>
      </c>
      <c r="B101" t="s">
        <v>51</v>
      </c>
      <c r="C101" t="s">
        <v>218</v>
      </c>
      <c r="D101" t="s">
        <v>7</v>
      </c>
      <c r="E101">
        <v>3000</v>
      </c>
      <c r="F101" t="s">
        <v>296</v>
      </c>
      <c r="G101">
        <v>7</v>
      </c>
      <c r="H101" s="2">
        <f>VLOOKUP(A101, ETR!A:K, 11, FALSE)</f>
        <v>0</v>
      </c>
      <c r="I101">
        <f>VLOOKUP(A101, ETR!A:K, 7, FALSE)</f>
        <v>0</v>
      </c>
      <c r="J101">
        <f>VLOOKUP(A101, ETR!A:K, 8, FALSE)</f>
        <v>0.5</v>
      </c>
      <c r="K101">
        <f t="shared" si="1"/>
        <v>10.5</v>
      </c>
      <c r="L101">
        <f>VLOOKUP(A101, ETR!A:K, 9, FALSE)</f>
        <v>2.1</v>
      </c>
      <c r="M101">
        <f>VLOOKUP(D101,ITT!A:D,4,FALSE)</f>
        <v>20</v>
      </c>
    </row>
    <row r="102" spans="1:15" x14ac:dyDescent="0.25">
      <c r="A102">
        <v>40470704</v>
      </c>
      <c r="B102" t="s">
        <v>51</v>
      </c>
      <c r="C102" t="s">
        <v>237</v>
      </c>
      <c r="D102" t="s">
        <v>41</v>
      </c>
      <c r="E102">
        <v>2900</v>
      </c>
      <c r="F102" t="s">
        <v>294</v>
      </c>
      <c r="G102">
        <v>1</v>
      </c>
      <c r="H102" s="2">
        <f>VLOOKUP(A102, ETR!A:K, 11, FALSE)</f>
        <v>3.0000000000000001E-3</v>
      </c>
      <c r="I102">
        <f>VLOOKUP(A102, ETR!A:K, 7, FALSE)</f>
        <v>0.5</v>
      </c>
      <c r="J102">
        <f>VLOOKUP(A102, ETR!A:K, 8, FALSE)</f>
        <v>4.5</v>
      </c>
      <c r="K102">
        <f t="shared" si="1"/>
        <v>10.15</v>
      </c>
      <c r="L102">
        <f>VLOOKUP(A102, ETR!A:K, 9, FALSE)</f>
        <v>10</v>
      </c>
      <c r="M102">
        <f>VLOOKUP(D102,ITT!A:D,4,FALSE)</f>
        <v>19.5</v>
      </c>
    </row>
    <row r="103" spans="1:15" x14ac:dyDescent="0.25">
      <c r="A103">
        <v>40470702</v>
      </c>
      <c r="B103" t="s">
        <v>51</v>
      </c>
      <c r="C103" t="s">
        <v>239</v>
      </c>
      <c r="D103" t="s">
        <v>57</v>
      </c>
      <c r="E103">
        <v>2900</v>
      </c>
      <c r="F103" t="s">
        <v>299</v>
      </c>
      <c r="G103">
        <v>8</v>
      </c>
      <c r="H103" s="2">
        <f>VLOOKUP(A103, ETR!A:K, 11, FALSE)</f>
        <v>2E-3</v>
      </c>
      <c r="I103">
        <f>VLOOKUP(A103, ETR!A:K, 7, FALSE)</f>
        <v>0.1</v>
      </c>
      <c r="J103">
        <f>VLOOKUP(A103, ETR!A:K, 8, FALSE)</f>
        <v>4.8</v>
      </c>
      <c r="K103">
        <f t="shared" si="1"/>
        <v>10.15</v>
      </c>
      <c r="L103">
        <f>VLOOKUP(A103, ETR!A:K, 9, FALSE)</f>
        <v>11.3</v>
      </c>
      <c r="M103">
        <f>VLOOKUP(D103,ITT!A:D,4,FALSE)</f>
        <v>21</v>
      </c>
      <c r="O103" t="s">
        <v>411</v>
      </c>
    </row>
    <row r="104" spans="1:15" x14ac:dyDescent="0.25">
      <c r="A104">
        <v>40470708</v>
      </c>
      <c r="B104" t="s">
        <v>51</v>
      </c>
      <c r="C104" t="s">
        <v>241</v>
      </c>
      <c r="D104" t="s">
        <v>41</v>
      </c>
      <c r="E104">
        <v>2800</v>
      </c>
      <c r="F104" t="s">
        <v>294</v>
      </c>
      <c r="G104">
        <v>1</v>
      </c>
      <c r="H104" s="2">
        <f>VLOOKUP(A104, ETR!A:K, 11, FALSE)</f>
        <v>0</v>
      </c>
      <c r="I104">
        <f>VLOOKUP(A104, ETR!A:K, 7, FALSE)</f>
        <v>0</v>
      </c>
      <c r="J104">
        <f>VLOOKUP(A104, ETR!A:K, 8, FALSE)</f>
        <v>3.4</v>
      </c>
      <c r="K104">
        <f t="shared" si="1"/>
        <v>9.7999999999999989</v>
      </c>
      <c r="L104">
        <f>VLOOKUP(A104, ETR!A:K, 9, FALSE)</f>
        <v>8.5</v>
      </c>
      <c r="M104">
        <f>VLOOKUP(D104,ITT!A:D,4,FALSE)</f>
        <v>19.5</v>
      </c>
    </row>
    <row r="105" spans="1:15" x14ac:dyDescent="0.25">
      <c r="A105">
        <v>40470710</v>
      </c>
      <c r="B105" t="s">
        <v>51</v>
      </c>
      <c r="C105" t="s">
        <v>242</v>
      </c>
      <c r="D105" t="s">
        <v>19</v>
      </c>
      <c r="E105">
        <v>2800</v>
      </c>
      <c r="F105" t="s">
        <v>294</v>
      </c>
      <c r="G105">
        <v>1</v>
      </c>
      <c r="H105" s="2">
        <f>VLOOKUP(A105, ETR!A:K, 11, FALSE)</f>
        <v>1E-3</v>
      </c>
      <c r="I105">
        <f>VLOOKUP(A105, ETR!A:K, 7, FALSE)</f>
        <v>0</v>
      </c>
      <c r="J105">
        <f>VLOOKUP(A105, ETR!A:K, 8, FALSE)</f>
        <v>3.1</v>
      </c>
      <c r="K105">
        <f t="shared" si="1"/>
        <v>9.7999999999999989</v>
      </c>
      <c r="L105">
        <f>VLOOKUP(A105, ETR!A:K, 9, FALSE)</f>
        <v>8.3000000000000007</v>
      </c>
      <c r="M105">
        <f>VLOOKUP(D105,ITT!A:D,4,FALSE)</f>
        <v>27</v>
      </c>
    </row>
    <row r="106" spans="1:15" x14ac:dyDescent="0.25">
      <c r="A106">
        <v>40470706</v>
      </c>
      <c r="B106" t="s">
        <v>51</v>
      </c>
      <c r="C106" t="s">
        <v>243</v>
      </c>
      <c r="D106" t="s">
        <v>43</v>
      </c>
      <c r="E106">
        <v>2800</v>
      </c>
      <c r="F106" t="s">
        <v>292</v>
      </c>
      <c r="G106">
        <v>3</v>
      </c>
      <c r="H106" s="2">
        <f>VLOOKUP(A106, ETR!A:K, 11, FALSE)</f>
        <v>0</v>
      </c>
      <c r="I106">
        <f>VLOOKUP(A106, ETR!A:K, 7, FALSE)</f>
        <v>0</v>
      </c>
      <c r="J106">
        <f>VLOOKUP(A106, ETR!A:K, 8, FALSE)</f>
        <v>2.5</v>
      </c>
      <c r="K106">
        <f t="shared" si="1"/>
        <v>9.7999999999999989</v>
      </c>
      <c r="L106">
        <f>VLOOKUP(A106, ETR!A:K, 9, FALSE)</f>
        <v>7.1</v>
      </c>
      <c r="M106">
        <f>VLOOKUP(D106,ITT!A:D,4,FALSE)</f>
        <v>23.75</v>
      </c>
    </row>
    <row r="107" spans="1:15" x14ac:dyDescent="0.25">
      <c r="A107">
        <v>40470714</v>
      </c>
      <c r="B107" t="s">
        <v>51</v>
      </c>
      <c r="C107" t="s">
        <v>244</v>
      </c>
      <c r="D107" t="s">
        <v>41</v>
      </c>
      <c r="E107">
        <v>2700</v>
      </c>
      <c r="F107" t="s">
        <v>294</v>
      </c>
      <c r="G107">
        <v>1</v>
      </c>
      <c r="H107" s="2">
        <f>VLOOKUP(A107, ETR!A:K, 11, FALSE)</f>
        <v>0</v>
      </c>
      <c r="I107">
        <f>VLOOKUP(A107, ETR!A:K, 7, FALSE)</f>
        <v>0.3</v>
      </c>
      <c r="J107">
        <f>VLOOKUP(A107, ETR!A:K, 8, FALSE)</f>
        <v>4.0999999999999996</v>
      </c>
      <c r="K107">
        <f t="shared" ref="K107:K138" si="2">(E107/1000)*3.5</f>
        <v>9.4500000000000011</v>
      </c>
      <c r="L107">
        <f>VLOOKUP(A107, ETR!A:K, 9, FALSE)</f>
        <v>9.5</v>
      </c>
      <c r="M107">
        <f>VLOOKUP(D107,ITT!A:D,4,FALSE)</f>
        <v>19.5</v>
      </c>
    </row>
    <row r="108" spans="1:15" x14ac:dyDescent="0.25">
      <c r="A108">
        <v>40470712</v>
      </c>
      <c r="B108" t="s">
        <v>51</v>
      </c>
      <c r="C108" t="s">
        <v>246</v>
      </c>
      <c r="D108" t="s">
        <v>31</v>
      </c>
      <c r="E108">
        <v>2700</v>
      </c>
      <c r="F108" t="s">
        <v>295</v>
      </c>
      <c r="G108">
        <v>5</v>
      </c>
      <c r="H108" s="2">
        <f>VLOOKUP(A108, ETR!A:K, 11, FALSE)</f>
        <v>2E-3</v>
      </c>
      <c r="I108">
        <f>VLOOKUP(A108, ETR!A:K, 7, FALSE)</f>
        <v>0</v>
      </c>
      <c r="J108">
        <f>VLOOKUP(A108, ETR!A:K, 8, FALSE)</f>
        <v>3.2</v>
      </c>
      <c r="K108">
        <f t="shared" si="2"/>
        <v>9.4500000000000011</v>
      </c>
      <c r="L108">
        <f>VLOOKUP(A108, ETR!A:K, 9, FALSE)</f>
        <v>8.1</v>
      </c>
      <c r="M108">
        <f>VLOOKUP(D108,ITT!A:D,4,FALSE)</f>
        <v>18</v>
      </c>
    </row>
    <row r="109" spans="1:15" x14ac:dyDescent="0.25">
      <c r="A109">
        <v>40470718</v>
      </c>
      <c r="B109" t="s">
        <v>51</v>
      </c>
      <c r="C109" t="s">
        <v>248</v>
      </c>
      <c r="D109" t="s">
        <v>26</v>
      </c>
      <c r="E109">
        <v>2600</v>
      </c>
      <c r="F109" t="s">
        <v>297</v>
      </c>
      <c r="G109">
        <v>2</v>
      </c>
      <c r="H109" s="2">
        <f>VLOOKUP(A109, ETR!A:K, 11, FALSE)</f>
        <v>4.0000000000000001E-3</v>
      </c>
      <c r="I109">
        <f>VLOOKUP(A109, ETR!A:K, 7, FALSE)</f>
        <v>0.8</v>
      </c>
      <c r="J109">
        <f>VLOOKUP(A109, ETR!A:K, 8, FALSE)</f>
        <v>5.6</v>
      </c>
      <c r="K109">
        <f t="shared" si="2"/>
        <v>9.1</v>
      </c>
      <c r="L109">
        <f>VLOOKUP(A109, ETR!A:K, 9, FALSE)</f>
        <v>12.3</v>
      </c>
      <c r="M109">
        <f>VLOOKUP(D109,ITT!A:D,4,FALSE)</f>
        <v>25</v>
      </c>
    </row>
    <row r="110" spans="1:15" x14ac:dyDescent="0.25">
      <c r="A110">
        <v>40470720</v>
      </c>
      <c r="B110" t="s">
        <v>51</v>
      </c>
      <c r="C110" t="s">
        <v>250</v>
      </c>
      <c r="D110" t="s">
        <v>45</v>
      </c>
      <c r="E110">
        <v>2600</v>
      </c>
      <c r="F110" t="s">
        <v>301</v>
      </c>
      <c r="G110">
        <v>9</v>
      </c>
      <c r="H110" s="2">
        <f>VLOOKUP(A110, ETR!A:K, 11, FALSE)</f>
        <v>0</v>
      </c>
      <c r="I110">
        <f>VLOOKUP(A110, ETR!A:K, 7, FALSE)</f>
        <v>0</v>
      </c>
      <c r="J110">
        <f>VLOOKUP(A110, ETR!A:K, 8, FALSE)</f>
        <v>3</v>
      </c>
      <c r="K110">
        <f t="shared" si="2"/>
        <v>9.1</v>
      </c>
      <c r="L110">
        <f>VLOOKUP(A110, ETR!A:K, 9, FALSE)</f>
        <v>8.1</v>
      </c>
      <c r="M110">
        <f>VLOOKUP(D110,ITT!A:D,4,FALSE)</f>
        <v>27</v>
      </c>
    </row>
    <row r="111" spans="1:15" x14ac:dyDescent="0.25">
      <c r="A111">
        <v>40470722</v>
      </c>
      <c r="B111" t="s">
        <v>51</v>
      </c>
      <c r="C111" t="s">
        <v>247</v>
      </c>
      <c r="D111" t="s">
        <v>21</v>
      </c>
      <c r="E111">
        <v>2600</v>
      </c>
      <c r="F111" t="s">
        <v>293</v>
      </c>
      <c r="G111">
        <v>4</v>
      </c>
      <c r="H111" s="2">
        <f>VLOOKUP(A111, ETR!A:K, 11, FALSE)</f>
        <v>1E-3</v>
      </c>
      <c r="I111">
        <f>VLOOKUP(A111, ETR!A:K, 7, FALSE)</f>
        <v>0.6</v>
      </c>
      <c r="J111">
        <f>VLOOKUP(A111, ETR!A:K, 8, FALSE)</f>
        <v>5.0999999999999996</v>
      </c>
      <c r="K111">
        <f t="shared" si="2"/>
        <v>9.1</v>
      </c>
      <c r="L111">
        <f>VLOOKUP(A111, ETR!A:K, 9, FALSE)</f>
        <v>11.4</v>
      </c>
      <c r="M111">
        <f>VLOOKUP(D111,ITT!A:D,4,FALSE)</f>
        <v>18.75</v>
      </c>
    </row>
    <row r="112" spans="1:15" x14ac:dyDescent="0.25">
      <c r="A112">
        <v>40470264</v>
      </c>
      <c r="B112" t="s">
        <v>10</v>
      </c>
      <c r="C112" s="6" t="s">
        <v>11</v>
      </c>
      <c r="D112" t="s">
        <v>12</v>
      </c>
      <c r="E112">
        <v>8100</v>
      </c>
      <c r="F112" t="s">
        <v>298</v>
      </c>
      <c r="G112">
        <v>6</v>
      </c>
      <c r="H112" s="2">
        <f>VLOOKUP(A112, ETR!A:K, 11, FALSE)</f>
        <v>0.33900000000000002</v>
      </c>
      <c r="I112">
        <f>VLOOKUP(A112, ETR!A:K, 7, FALSE)</f>
        <v>9.6</v>
      </c>
      <c r="J112">
        <f>VLOOKUP(A112, ETR!A:K, 8, FALSE)</f>
        <v>22.5</v>
      </c>
      <c r="K112">
        <f t="shared" si="2"/>
        <v>28.349999999999998</v>
      </c>
      <c r="L112">
        <f>VLOOKUP(A112, ETR!A:K, 9, FALSE)</f>
        <v>37.6</v>
      </c>
      <c r="M112">
        <f>VLOOKUP(D112,ITT!A:D,4,FALSE)</f>
        <v>25.5</v>
      </c>
      <c r="N112" t="s">
        <v>431</v>
      </c>
      <c r="O112" t="s">
        <v>372</v>
      </c>
    </row>
    <row r="113" spans="1:15" x14ac:dyDescent="0.25">
      <c r="A113">
        <v>40470266</v>
      </c>
      <c r="B113" t="s">
        <v>10</v>
      </c>
      <c r="C113" s="6" t="s">
        <v>13</v>
      </c>
      <c r="D113" t="s">
        <v>14</v>
      </c>
      <c r="E113">
        <v>7800</v>
      </c>
      <c r="F113" t="s">
        <v>301</v>
      </c>
      <c r="G113">
        <v>9</v>
      </c>
      <c r="H113" s="2">
        <f>VLOOKUP(A113, ETR!A:K, 11, FALSE)</f>
        <v>0.1</v>
      </c>
      <c r="I113">
        <f>VLOOKUP(A113, ETR!A:K, 7, FALSE)</f>
        <v>7.7</v>
      </c>
      <c r="J113">
        <f>VLOOKUP(A113, ETR!A:K, 8, FALSE)</f>
        <v>19.5</v>
      </c>
      <c r="K113">
        <f t="shared" si="2"/>
        <v>27.3</v>
      </c>
      <c r="L113">
        <f>VLOOKUP(A113, ETR!A:K, 9, FALSE)</f>
        <v>34</v>
      </c>
      <c r="M113">
        <f>VLOOKUP(D113,ITT!A:D,4,FALSE)</f>
        <v>23.5</v>
      </c>
      <c r="N113" t="s">
        <v>376</v>
      </c>
      <c r="O113" t="s">
        <v>412</v>
      </c>
    </row>
    <row r="114" spans="1:15" x14ac:dyDescent="0.25">
      <c r="A114">
        <v>40470270</v>
      </c>
      <c r="B114" t="s">
        <v>10</v>
      </c>
      <c r="C114" t="s">
        <v>23</v>
      </c>
      <c r="D114" t="s">
        <v>14</v>
      </c>
      <c r="E114">
        <v>7100</v>
      </c>
      <c r="F114" t="s">
        <v>301</v>
      </c>
      <c r="G114">
        <v>9</v>
      </c>
      <c r="H114" s="2">
        <f>VLOOKUP(A114, ETR!A:K, 11, FALSE)</f>
        <v>5.3999999999999999E-2</v>
      </c>
      <c r="I114">
        <f>VLOOKUP(A114, ETR!A:K, 7, FALSE)</f>
        <v>4.3</v>
      </c>
      <c r="J114">
        <f>VLOOKUP(A114, ETR!A:K, 8, FALSE)</f>
        <v>14.5</v>
      </c>
      <c r="K114">
        <f t="shared" si="2"/>
        <v>24.849999999999998</v>
      </c>
      <c r="L114">
        <f>VLOOKUP(A114, ETR!A:K, 9, FALSE)</f>
        <v>27.5</v>
      </c>
      <c r="M114">
        <f>VLOOKUP(D114,ITT!A:D,4,FALSE)</f>
        <v>23.5</v>
      </c>
      <c r="N114" t="s">
        <v>415</v>
      </c>
    </row>
    <row r="115" spans="1:15" x14ac:dyDescent="0.25">
      <c r="A115">
        <v>40470272</v>
      </c>
      <c r="B115" t="s">
        <v>10</v>
      </c>
      <c r="C115" t="s">
        <v>24</v>
      </c>
      <c r="D115" t="s">
        <v>25</v>
      </c>
      <c r="E115">
        <v>7000</v>
      </c>
      <c r="F115" t="s">
        <v>299</v>
      </c>
      <c r="G115">
        <v>8</v>
      </c>
      <c r="H115" s="2">
        <f>VLOOKUP(A115, ETR!A:K, 11, FALSE)</f>
        <v>0.186</v>
      </c>
      <c r="I115">
        <f>VLOOKUP(A115, ETR!A:K, 7, FALSE)</f>
        <v>6.3</v>
      </c>
      <c r="J115">
        <f>VLOOKUP(A115, ETR!A:K, 8, FALSE)</f>
        <v>17.8</v>
      </c>
      <c r="K115">
        <f t="shared" si="2"/>
        <v>24.5</v>
      </c>
      <c r="L115">
        <f>VLOOKUP(A115, ETR!A:K, 9, FALSE)</f>
        <v>32.5</v>
      </c>
      <c r="M115">
        <f>VLOOKUP(D115,ITT!A:D,4,FALSE)</f>
        <v>25.5</v>
      </c>
      <c r="N115" t="s">
        <v>376</v>
      </c>
      <c r="O115" t="s">
        <v>410</v>
      </c>
    </row>
    <row r="116" spans="1:15" x14ac:dyDescent="0.25">
      <c r="A116">
        <v>40470276</v>
      </c>
      <c r="B116" t="s">
        <v>10</v>
      </c>
      <c r="C116" t="s">
        <v>35</v>
      </c>
      <c r="D116" t="s">
        <v>9</v>
      </c>
      <c r="E116">
        <v>6400</v>
      </c>
      <c r="F116" t="s">
        <v>293</v>
      </c>
      <c r="G116">
        <v>4</v>
      </c>
      <c r="H116" s="2">
        <f>VLOOKUP(A116, ETR!A:K, 11, FALSE)</f>
        <v>0.19500000000000001</v>
      </c>
      <c r="I116">
        <f>VLOOKUP(A116, ETR!A:K, 7, FALSE)</f>
        <v>5.2</v>
      </c>
      <c r="J116">
        <f>VLOOKUP(A116, ETR!A:K, 8, FALSE)</f>
        <v>15.2</v>
      </c>
      <c r="K116">
        <f t="shared" si="2"/>
        <v>22.400000000000002</v>
      </c>
      <c r="L116">
        <f>VLOOKUP(A116, ETR!A:K, 9, FALSE)</f>
        <v>28.2</v>
      </c>
      <c r="M116">
        <f>VLOOKUP(D116,ITT!A:D,4,FALSE)</f>
        <v>25.75</v>
      </c>
    </row>
    <row r="117" spans="1:15" x14ac:dyDescent="0.25">
      <c r="A117">
        <v>40470278</v>
      </c>
      <c r="B117" t="s">
        <v>10</v>
      </c>
      <c r="C117" t="s">
        <v>38</v>
      </c>
      <c r="D117" t="s">
        <v>39</v>
      </c>
      <c r="E117">
        <v>6300</v>
      </c>
      <c r="F117" t="s">
        <v>297</v>
      </c>
      <c r="G117">
        <v>2</v>
      </c>
      <c r="H117" s="2">
        <f>VLOOKUP(A117, ETR!A:K, 11, FALSE)</f>
        <v>0.06</v>
      </c>
      <c r="I117">
        <f>VLOOKUP(A117, ETR!A:K, 7, FALSE)</f>
        <v>3.7</v>
      </c>
      <c r="J117">
        <f>VLOOKUP(A117, ETR!A:K, 8, FALSE)</f>
        <v>12.8</v>
      </c>
      <c r="K117">
        <f t="shared" si="2"/>
        <v>22.05</v>
      </c>
      <c r="L117">
        <f>VLOOKUP(A117, ETR!A:K, 9, FALSE)</f>
        <v>24.6</v>
      </c>
      <c r="M117">
        <f>VLOOKUP(D117,ITT!A:D,4,FALSE)</f>
        <v>21.5</v>
      </c>
      <c r="N117" t="s">
        <v>377</v>
      </c>
      <c r="O117" t="s">
        <v>419</v>
      </c>
    </row>
    <row r="118" spans="1:15" x14ac:dyDescent="0.25">
      <c r="A118">
        <v>40470280</v>
      </c>
      <c r="B118" t="s">
        <v>10</v>
      </c>
      <c r="C118" t="s">
        <v>44</v>
      </c>
      <c r="D118" t="s">
        <v>45</v>
      </c>
      <c r="E118">
        <v>6200</v>
      </c>
      <c r="F118" t="s">
        <v>301</v>
      </c>
      <c r="G118">
        <v>9</v>
      </c>
      <c r="H118" s="2">
        <f>VLOOKUP(A118, ETR!A:K, 11, FALSE)</f>
        <v>0.122</v>
      </c>
      <c r="I118">
        <f>VLOOKUP(A118, ETR!A:K, 7, FALSE)</f>
        <v>4.3</v>
      </c>
      <c r="J118">
        <f>VLOOKUP(A118, ETR!A:K, 8, FALSE)</f>
        <v>14.3</v>
      </c>
      <c r="K118">
        <f t="shared" si="2"/>
        <v>21.7</v>
      </c>
      <c r="L118">
        <f>VLOOKUP(A118, ETR!A:K, 9, FALSE)</f>
        <v>27.3</v>
      </c>
      <c r="M118">
        <f>VLOOKUP(D118,ITT!A:D,4,FALSE)</f>
        <v>27</v>
      </c>
      <c r="N118" t="s">
        <v>377</v>
      </c>
      <c r="O118" t="s">
        <v>390</v>
      </c>
    </row>
    <row r="119" spans="1:15" x14ac:dyDescent="0.25">
      <c r="A119">
        <v>40470286</v>
      </c>
      <c r="B119" t="s">
        <v>10</v>
      </c>
      <c r="C119" s="6" t="s">
        <v>54</v>
      </c>
      <c r="D119" t="s">
        <v>16</v>
      </c>
      <c r="E119">
        <v>5900</v>
      </c>
      <c r="F119" t="s">
        <v>295</v>
      </c>
      <c r="G119">
        <v>5</v>
      </c>
      <c r="H119" s="2">
        <f>VLOOKUP(A119, ETR!A:K, 11, FALSE)</f>
        <v>0.29399999999999998</v>
      </c>
      <c r="I119">
        <f>VLOOKUP(A119, ETR!A:K, 7, FALSE)</f>
        <v>6.9</v>
      </c>
      <c r="J119">
        <f>VLOOKUP(A119, ETR!A:K, 8, FALSE)</f>
        <v>17.600000000000001</v>
      </c>
      <c r="K119">
        <f t="shared" si="2"/>
        <v>20.650000000000002</v>
      </c>
      <c r="L119">
        <f>VLOOKUP(A119, ETR!A:K, 9, FALSE)</f>
        <v>31.6</v>
      </c>
      <c r="M119">
        <f>VLOOKUP(D119,ITT!A:D,4,FALSE)</f>
        <v>25.5</v>
      </c>
      <c r="N119" t="s">
        <v>431</v>
      </c>
      <c r="O119" t="s">
        <v>405</v>
      </c>
    </row>
    <row r="120" spans="1:15" x14ac:dyDescent="0.25">
      <c r="A120">
        <v>40470288</v>
      </c>
      <c r="B120" t="s">
        <v>10</v>
      </c>
      <c r="C120" t="s">
        <v>55</v>
      </c>
      <c r="D120" t="s">
        <v>43</v>
      </c>
      <c r="E120">
        <v>5800</v>
      </c>
      <c r="F120" t="s">
        <v>292</v>
      </c>
      <c r="G120">
        <v>3</v>
      </c>
      <c r="H120" s="2">
        <f>VLOOKUP(A120, ETR!A:K, 11, FALSE)</f>
        <v>0.108</v>
      </c>
      <c r="I120">
        <f>VLOOKUP(A120, ETR!A:K, 7, FALSE)</f>
        <v>5.0999999999999996</v>
      </c>
      <c r="J120">
        <f>VLOOKUP(A120, ETR!A:K, 8, FALSE)</f>
        <v>14.4</v>
      </c>
      <c r="K120">
        <f t="shared" si="2"/>
        <v>20.3</v>
      </c>
      <c r="L120">
        <f>VLOOKUP(A120, ETR!A:K, 9, FALSE)</f>
        <v>26.7</v>
      </c>
      <c r="M120">
        <f>VLOOKUP(D120,ITT!A:D,4,FALSE)</f>
        <v>23.75</v>
      </c>
      <c r="N120" t="s">
        <v>395</v>
      </c>
      <c r="O120" t="s">
        <v>397</v>
      </c>
    </row>
    <row r="121" spans="1:15" x14ac:dyDescent="0.25">
      <c r="A121">
        <v>40470290</v>
      </c>
      <c r="B121" t="s">
        <v>10</v>
      </c>
      <c r="C121" s="6" t="s">
        <v>56</v>
      </c>
      <c r="D121" t="s">
        <v>57</v>
      </c>
      <c r="E121">
        <v>5800</v>
      </c>
      <c r="F121" t="s">
        <v>299</v>
      </c>
      <c r="G121">
        <v>8</v>
      </c>
      <c r="H121" s="2">
        <f>VLOOKUP(A121, ETR!A:K, 11, FALSE)</f>
        <v>0.20899999999999999</v>
      </c>
      <c r="I121">
        <f>VLOOKUP(A121, ETR!A:K, 7, FALSE)</f>
        <v>6</v>
      </c>
      <c r="J121">
        <f>VLOOKUP(A121, ETR!A:K, 8, FALSE)</f>
        <v>15.8</v>
      </c>
      <c r="K121">
        <f t="shared" si="2"/>
        <v>20.3</v>
      </c>
      <c r="L121">
        <f>VLOOKUP(A121, ETR!A:K, 9, FALSE)</f>
        <v>28.2</v>
      </c>
      <c r="M121">
        <f>VLOOKUP(D121,ITT!A:D,4,FALSE)</f>
        <v>21</v>
      </c>
      <c r="O121" t="s">
        <v>403</v>
      </c>
    </row>
    <row r="122" spans="1:15" x14ac:dyDescent="0.25">
      <c r="A122">
        <v>40470292</v>
      </c>
      <c r="B122" t="s">
        <v>10</v>
      </c>
      <c r="C122" t="s">
        <v>60</v>
      </c>
      <c r="D122" t="s">
        <v>41</v>
      </c>
      <c r="E122">
        <v>5700</v>
      </c>
      <c r="F122" t="s">
        <v>294</v>
      </c>
      <c r="G122">
        <v>1</v>
      </c>
      <c r="H122" s="2">
        <f>VLOOKUP(A122, ETR!A:K, 11, FALSE)</f>
        <v>7.6999999999999999E-2</v>
      </c>
      <c r="I122">
        <f>VLOOKUP(A122, ETR!A:K, 7, FALSE)</f>
        <v>3.9</v>
      </c>
      <c r="J122">
        <f>VLOOKUP(A122, ETR!A:K, 8, FALSE)</f>
        <v>12.9</v>
      </c>
      <c r="K122">
        <f t="shared" si="2"/>
        <v>19.95</v>
      </c>
      <c r="L122">
        <f>VLOOKUP(A122, ETR!A:K, 9, FALSE)</f>
        <v>24.4</v>
      </c>
      <c r="M122">
        <f>VLOOKUP(D122,ITT!A:D,4,FALSE)</f>
        <v>19.5</v>
      </c>
      <c r="N122" t="s">
        <v>377</v>
      </c>
      <c r="O122" t="s">
        <v>383</v>
      </c>
    </row>
    <row r="123" spans="1:15" x14ac:dyDescent="0.25">
      <c r="A123">
        <v>40470294</v>
      </c>
      <c r="B123" t="s">
        <v>10</v>
      </c>
      <c r="C123" t="s">
        <v>59</v>
      </c>
      <c r="D123" t="s">
        <v>21</v>
      </c>
      <c r="E123">
        <v>5700</v>
      </c>
      <c r="F123" t="s">
        <v>293</v>
      </c>
      <c r="G123">
        <v>4</v>
      </c>
      <c r="H123" s="2">
        <f>VLOOKUP(A123, ETR!A:K, 11, FALSE)</f>
        <v>0.11899999999999999</v>
      </c>
      <c r="I123">
        <f>VLOOKUP(A123, ETR!A:K, 7, FALSE)</f>
        <v>5</v>
      </c>
      <c r="J123">
        <f>VLOOKUP(A123, ETR!A:K, 8, FALSE)</f>
        <v>14.7</v>
      </c>
      <c r="K123">
        <f t="shared" si="2"/>
        <v>19.95</v>
      </c>
      <c r="L123">
        <f>VLOOKUP(A123, ETR!A:K, 9, FALSE)</f>
        <v>27.3</v>
      </c>
      <c r="M123">
        <f>VLOOKUP(D123,ITT!A:D,4,FALSE)</f>
        <v>18.75</v>
      </c>
    </row>
    <row r="124" spans="1:15" x14ac:dyDescent="0.25">
      <c r="A124">
        <v>40470296</v>
      </c>
      <c r="B124" t="s">
        <v>10</v>
      </c>
      <c r="C124" s="6" t="s">
        <v>63</v>
      </c>
      <c r="D124" t="s">
        <v>12</v>
      </c>
      <c r="E124">
        <v>5600</v>
      </c>
      <c r="F124" t="s">
        <v>298</v>
      </c>
      <c r="G124">
        <v>6</v>
      </c>
      <c r="H124" s="2">
        <f>VLOOKUP(A124, ETR!A:K, 11, FALSE)</f>
        <v>0.104</v>
      </c>
      <c r="I124">
        <f>VLOOKUP(A124, ETR!A:K, 7, FALSE)</f>
        <v>3.9</v>
      </c>
      <c r="J124">
        <f>VLOOKUP(A124, ETR!A:K, 8, FALSE)</f>
        <v>13.5</v>
      </c>
      <c r="K124">
        <f t="shared" si="2"/>
        <v>19.599999999999998</v>
      </c>
      <c r="L124">
        <f>VLOOKUP(A124, ETR!A:K, 9, FALSE)</f>
        <v>25.6</v>
      </c>
      <c r="M124">
        <f>VLOOKUP(D124,ITT!A:D,4,FALSE)</f>
        <v>25.5</v>
      </c>
      <c r="N124" t="s">
        <v>377</v>
      </c>
      <c r="O124" t="s">
        <v>385</v>
      </c>
    </row>
    <row r="125" spans="1:15" x14ac:dyDescent="0.25">
      <c r="A125">
        <v>40470298</v>
      </c>
      <c r="B125" t="s">
        <v>10</v>
      </c>
      <c r="C125" s="6" t="s">
        <v>64</v>
      </c>
      <c r="D125" t="s">
        <v>5</v>
      </c>
      <c r="E125">
        <v>5600</v>
      </c>
      <c r="F125" t="s">
        <v>300</v>
      </c>
      <c r="G125">
        <v>10</v>
      </c>
      <c r="H125" s="2">
        <f>VLOOKUP(A125, ETR!A:K, 11, FALSE)</f>
        <v>0.09</v>
      </c>
      <c r="I125">
        <f>VLOOKUP(A125, ETR!A:K, 7, FALSE)</f>
        <v>4.3</v>
      </c>
      <c r="J125">
        <f>VLOOKUP(A125, ETR!A:K, 8, FALSE)</f>
        <v>12.8</v>
      </c>
      <c r="K125">
        <f t="shared" si="2"/>
        <v>19.599999999999998</v>
      </c>
      <c r="L125">
        <f>VLOOKUP(A125, ETR!A:K, 9, FALSE)</f>
        <v>24.8</v>
      </c>
      <c r="M125">
        <f>VLOOKUP(D125,ITT!A:D,4,FALSE)</f>
        <v>30.5</v>
      </c>
      <c r="N125" t="s">
        <v>377</v>
      </c>
      <c r="O125" t="s">
        <v>392</v>
      </c>
    </row>
    <row r="126" spans="1:15" x14ac:dyDescent="0.25">
      <c r="A126">
        <v>40470302</v>
      </c>
      <c r="B126" t="s">
        <v>10</v>
      </c>
      <c r="C126" t="s">
        <v>68</v>
      </c>
      <c r="D126" t="s">
        <v>26</v>
      </c>
      <c r="E126">
        <v>5400</v>
      </c>
      <c r="F126" t="s">
        <v>297</v>
      </c>
      <c r="G126">
        <v>2</v>
      </c>
      <c r="H126" s="2">
        <f>VLOOKUP(A126, ETR!A:K, 11, FALSE)</f>
        <v>7.5999999999999998E-2</v>
      </c>
      <c r="I126">
        <f>VLOOKUP(A126, ETR!A:K, 7, FALSE)</f>
        <v>3.8</v>
      </c>
      <c r="J126">
        <f>VLOOKUP(A126, ETR!A:K, 8, FALSE)</f>
        <v>11.7</v>
      </c>
      <c r="K126">
        <f t="shared" si="2"/>
        <v>18.900000000000002</v>
      </c>
      <c r="L126">
        <f>VLOOKUP(A126, ETR!A:K, 9, FALSE)</f>
        <v>22.3</v>
      </c>
      <c r="M126">
        <f>VLOOKUP(D126,ITT!A:D,4,FALSE)</f>
        <v>25</v>
      </c>
    </row>
    <row r="127" spans="1:15" x14ac:dyDescent="0.25">
      <c r="A127">
        <v>40470306</v>
      </c>
      <c r="B127" t="s">
        <v>10</v>
      </c>
      <c r="C127" t="s">
        <v>71</v>
      </c>
      <c r="D127" t="s">
        <v>39</v>
      </c>
      <c r="E127">
        <v>5300</v>
      </c>
      <c r="F127" t="s">
        <v>297</v>
      </c>
      <c r="G127">
        <v>2</v>
      </c>
      <c r="H127" s="2">
        <f>VLOOKUP(A127, ETR!A:K, 11, FALSE)</f>
        <v>1.4E-2</v>
      </c>
      <c r="I127">
        <f>VLOOKUP(A127, ETR!A:K, 7, FALSE)</f>
        <v>2.7</v>
      </c>
      <c r="J127">
        <f>VLOOKUP(A127, ETR!A:K, 8, FALSE)</f>
        <v>9.6</v>
      </c>
      <c r="K127">
        <f t="shared" si="2"/>
        <v>18.55</v>
      </c>
      <c r="L127">
        <f>VLOOKUP(A127, ETR!A:K, 9, FALSE)</f>
        <v>18.899999999999999</v>
      </c>
      <c r="M127">
        <f>VLOOKUP(D127,ITT!A:D,4,FALSE)</f>
        <v>21.5</v>
      </c>
    </row>
    <row r="128" spans="1:15" x14ac:dyDescent="0.25">
      <c r="A128">
        <v>40470308</v>
      </c>
      <c r="B128" t="s">
        <v>10</v>
      </c>
      <c r="C128" t="s">
        <v>74</v>
      </c>
      <c r="D128" t="s">
        <v>31</v>
      </c>
      <c r="E128">
        <v>5200</v>
      </c>
      <c r="F128" t="s">
        <v>295</v>
      </c>
      <c r="G128">
        <v>5</v>
      </c>
      <c r="H128" s="2">
        <f>VLOOKUP(A128, ETR!A:K, 11, FALSE)</f>
        <v>0.08</v>
      </c>
      <c r="I128">
        <f>VLOOKUP(A128, ETR!A:K, 7, FALSE)</f>
        <v>4.2</v>
      </c>
      <c r="J128">
        <f>VLOOKUP(A128, ETR!A:K, 8, FALSE)</f>
        <v>12.4</v>
      </c>
      <c r="K128">
        <f t="shared" si="2"/>
        <v>18.2</v>
      </c>
      <c r="L128">
        <f>VLOOKUP(A128, ETR!A:K, 9, FALSE)</f>
        <v>23</v>
      </c>
      <c r="M128">
        <f>VLOOKUP(D128,ITT!A:D,4,FALSE)</f>
        <v>18</v>
      </c>
    </row>
    <row r="129" spans="1:15" x14ac:dyDescent="0.25">
      <c r="A129">
        <v>40470310</v>
      </c>
      <c r="B129" t="s">
        <v>10</v>
      </c>
      <c r="C129" t="s">
        <v>77</v>
      </c>
      <c r="D129" t="s">
        <v>19</v>
      </c>
      <c r="E129">
        <v>5100</v>
      </c>
      <c r="F129" t="s">
        <v>294</v>
      </c>
      <c r="G129">
        <v>1</v>
      </c>
      <c r="H129" s="2">
        <f>VLOOKUP(A129, ETR!A:K, 11, FALSE)</f>
        <v>6.9000000000000006E-2</v>
      </c>
      <c r="I129">
        <f>VLOOKUP(A129, ETR!A:K, 7, FALSE)</f>
        <v>4.0999999999999996</v>
      </c>
      <c r="J129">
        <f>VLOOKUP(A129, ETR!A:K, 8, FALSE)</f>
        <v>11.8</v>
      </c>
      <c r="K129">
        <f t="shared" si="2"/>
        <v>17.849999999999998</v>
      </c>
      <c r="L129">
        <f>VLOOKUP(A129, ETR!A:K, 9, FALSE)</f>
        <v>22.5</v>
      </c>
      <c r="M129">
        <f>VLOOKUP(D129,ITT!A:D,4,FALSE)</f>
        <v>27</v>
      </c>
      <c r="N129" t="s">
        <v>377</v>
      </c>
      <c r="O129" t="s">
        <v>380</v>
      </c>
    </row>
    <row r="130" spans="1:15" x14ac:dyDescent="0.25">
      <c r="A130">
        <v>40470312</v>
      </c>
      <c r="B130" t="s">
        <v>10</v>
      </c>
      <c r="C130" t="s">
        <v>80</v>
      </c>
      <c r="D130" t="s">
        <v>7</v>
      </c>
      <c r="E130">
        <v>5100</v>
      </c>
      <c r="F130" t="s">
        <v>296</v>
      </c>
      <c r="G130">
        <v>7</v>
      </c>
      <c r="H130" s="2">
        <f>VLOOKUP(A130, ETR!A:K, 11, FALSE)</f>
        <v>6.0000000000000001E-3</v>
      </c>
      <c r="I130">
        <f>VLOOKUP(A130, ETR!A:K, 7, FALSE)</f>
        <v>2.2999999999999998</v>
      </c>
      <c r="J130">
        <f>VLOOKUP(A130, ETR!A:K, 8, FALSE)</f>
        <v>8.8000000000000007</v>
      </c>
      <c r="K130">
        <f t="shared" si="2"/>
        <v>17.849999999999998</v>
      </c>
      <c r="L130">
        <f>VLOOKUP(A130, ETR!A:K, 9, FALSE)</f>
        <v>17.7</v>
      </c>
      <c r="M130">
        <f>VLOOKUP(D130,ITT!A:D,4,FALSE)</f>
        <v>20</v>
      </c>
    </row>
    <row r="131" spans="1:15" x14ac:dyDescent="0.25">
      <c r="A131">
        <v>40470314</v>
      </c>
      <c r="B131" t="s">
        <v>10</v>
      </c>
      <c r="C131" t="s">
        <v>81</v>
      </c>
      <c r="D131" t="s">
        <v>19</v>
      </c>
      <c r="E131">
        <v>5000</v>
      </c>
      <c r="F131" t="s">
        <v>294</v>
      </c>
      <c r="G131">
        <v>1</v>
      </c>
      <c r="H131" s="2">
        <f>VLOOKUP(A131, ETR!A:K, 11, FALSE)</f>
        <v>4.2999999999999997E-2</v>
      </c>
      <c r="I131">
        <f>VLOOKUP(A131, ETR!A:K, 7, FALSE)</f>
        <v>3</v>
      </c>
      <c r="J131">
        <f>VLOOKUP(A131, ETR!A:K, 8, FALSE)</f>
        <v>11.6</v>
      </c>
      <c r="K131">
        <f t="shared" si="2"/>
        <v>17.5</v>
      </c>
      <c r="L131">
        <f>VLOOKUP(A131, ETR!A:K, 9, FALSE)</f>
        <v>23.4</v>
      </c>
      <c r="M131">
        <f>VLOOKUP(D131,ITT!A:D,4,FALSE)</f>
        <v>27</v>
      </c>
    </row>
    <row r="132" spans="1:15" x14ac:dyDescent="0.25">
      <c r="A132">
        <v>40470320</v>
      </c>
      <c r="B132" t="s">
        <v>10</v>
      </c>
      <c r="C132" t="s">
        <v>87</v>
      </c>
      <c r="D132" t="s">
        <v>43</v>
      </c>
      <c r="E132">
        <v>4800</v>
      </c>
      <c r="F132" t="s">
        <v>292</v>
      </c>
      <c r="G132">
        <v>3</v>
      </c>
      <c r="H132" s="2">
        <f>VLOOKUP(A132, ETR!A:K, 11, FALSE)</f>
        <v>7.0000000000000001E-3</v>
      </c>
      <c r="I132">
        <f>VLOOKUP(A132, ETR!A:K, 7, FALSE)</f>
        <v>1.1000000000000001</v>
      </c>
      <c r="J132">
        <f>VLOOKUP(A132, ETR!A:K, 8, FALSE)</f>
        <v>7.9</v>
      </c>
      <c r="K132">
        <f t="shared" si="2"/>
        <v>16.8</v>
      </c>
      <c r="L132">
        <f>VLOOKUP(A132, ETR!A:K, 9, FALSE)</f>
        <v>17.5</v>
      </c>
      <c r="M132">
        <f>VLOOKUP(D132,ITT!A:D,4,FALSE)</f>
        <v>23.75</v>
      </c>
      <c r="N132" t="s">
        <v>395</v>
      </c>
      <c r="O132" t="s">
        <v>396</v>
      </c>
    </row>
    <row r="133" spans="1:15" x14ac:dyDescent="0.25">
      <c r="A133">
        <v>40470324</v>
      </c>
      <c r="B133" t="s">
        <v>10</v>
      </c>
      <c r="C133" t="s">
        <v>90</v>
      </c>
      <c r="D133" t="s">
        <v>57</v>
      </c>
      <c r="E133">
        <v>4700</v>
      </c>
      <c r="F133" t="s">
        <v>299</v>
      </c>
      <c r="G133">
        <v>8</v>
      </c>
      <c r="H133" s="2">
        <f>VLOOKUP(A133, ETR!A:K, 11, FALSE)</f>
        <v>0.123</v>
      </c>
      <c r="I133">
        <f>VLOOKUP(A133, ETR!A:K, 7, FALSE)</f>
        <v>3.8</v>
      </c>
      <c r="J133">
        <f>VLOOKUP(A133, ETR!A:K, 8, FALSE)</f>
        <v>12.5</v>
      </c>
      <c r="K133">
        <f t="shared" si="2"/>
        <v>16.45</v>
      </c>
      <c r="L133">
        <f>VLOOKUP(A133, ETR!A:K, 9, FALSE)</f>
        <v>23.7</v>
      </c>
      <c r="M133">
        <f>VLOOKUP(D133,ITT!A:D,4,FALSE)</f>
        <v>21</v>
      </c>
      <c r="N133" t="s">
        <v>376</v>
      </c>
      <c r="O133" t="s">
        <v>400</v>
      </c>
    </row>
    <row r="134" spans="1:15" x14ac:dyDescent="0.25">
      <c r="A134">
        <v>40470322</v>
      </c>
      <c r="B134" t="s">
        <v>10</v>
      </c>
      <c r="C134" t="s">
        <v>92</v>
      </c>
      <c r="D134" t="s">
        <v>5</v>
      </c>
      <c r="E134">
        <v>4700</v>
      </c>
      <c r="F134" t="s">
        <v>300</v>
      </c>
      <c r="G134">
        <v>10</v>
      </c>
      <c r="H134" s="2">
        <f>VLOOKUP(A134, ETR!A:K, 11, FALSE)</f>
        <v>1.9E-2</v>
      </c>
      <c r="I134">
        <f>VLOOKUP(A134, ETR!A:K, 7, FALSE)</f>
        <v>3</v>
      </c>
      <c r="J134">
        <f>VLOOKUP(A134, ETR!A:K, 8, FALSE)</f>
        <v>10</v>
      </c>
      <c r="K134">
        <f t="shared" si="2"/>
        <v>16.45</v>
      </c>
      <c r="L134">
        <f>VLOOKUP(A134, ETR!A:K, 9, FALSE)</f>
        <v>19.7</v>
      </c>
      <c r="M134">
        <f>VLOOKUP(D134,ITT!A:D,4,FALSE)</f>
        <v>30.5</v>
      </c>
    </row>
    <row r="135" spans="1:15" x14ac:dyDescent="0.25">
      <c r="A135">
        <v>40470326</v>
      </c>
      <c r="B135" t="s">
        <v>10</v>
      </c>
      <c r="C135" s="1" t="s">
        <v>93</v>
      </c>
      <c r="D135" t="s">
        <v>7</v>
      </c>
      <c r="E135">
        <v>4600</v>
      </c>
      <c r="F135" t="s">
        <v>296</v>
      </c>
      <c r="G135">
        <v>7</v>
      </c>
      <c r="H135" s="2">
        <f>VLOOKUP(A135, ETR!A:K, 11, FALSE)</f>
        <v>3.1E-2</v>
      </c>
      <c r="I135">
        <f>VLOOKUP(A135, ETR!A:K, 7, FALSE)</f>
        <v>3.1</v>
      </c>
      <c r="J135">
        <f>VLOOKUP(A135, ETR!A:K, 8, FALSE)</f>
        <v>10.3</v>
      </c>
      <c r="K135">
        <f t="shared" si="2"/>
        <v>16.099999999999998</v>
      </c>
      <c r="L135">
        <f>VLOOKUP(A135, ETR!A:K, 9, FALSE)</f>
        <v>20.2</v>
      </c>
      <c r="M135">
        <f>VLOOKUP(D135,ITT!A:D,4,FALSE)</f>
        <v>20</v>
      </c>
      <c r="O135" t="s">
        <v>420</v>
      </c>
    </row>
    <row r="136" spans="1:15" x14ac:dyDescent="0.25">
      <c r="A136">
        <v>40470328</v>
      </c>
      <c r="B136" t="s">
        <v>10</v>
      </c>
      <c r="C136" t="s">
        <v>97</v>
      </c>
      <c r="D136" t="s">
        <v>5</v>
      </c>
      <c r="E136">
        <v>4600</v>
      </c>
      <c r="F136" t="s">
        <v>300</v>
      </c>
      <c r="G136">
        <v>10</v>
      </c>
      <c r="H136" s="2">
        <f>VLOOKUP(A136, ETR!A:K, 11, FALSE)</f>
        <v>2.3E-2</v>
      </c>
      <c r="I136">
        <f>VLOOKUP(A136, ETR!A:K, 7, FALSE)</f>
        <v>1.6</v>
      </c>
      <c r="J136">
        <f>VLOOKUP(A136, ETR!A:K, 8, FALSE)</f>
        <v>9.3000000000000007</v>
      </c>
      <c r="K136">
        <f t="shared" si="2"/>
        <v>16.099999999999998</v>
      </c>
      <c r="L136">
        <f>VLOOKUP(A136, ETR!A:K, 9, FALSE)</f>
        <v>20.2</v>
      </c>
      <c r="M136">
        <f>VLOOKUP(D136,ITT!A:D,4,FALSE)</f>
        <v>30.5</v>
      </c>
    </row>
    <row r="137" spans="1:15" x14ac:dyDescent="0.25">
      <c r="A137">
        <v>40470330</v>
      </c>
      <c r="B137" t="s">
        <v>10</v>
      </c>
      <c r="C137" t="s">
        <v>103</v>
      </c>
      <c r="D137" t="s">
        <v>25</v>
      </c>
      <c r="E137">
        <v>4500</v>
      </c>
      <c r="F137" t="s">
        <v>299</v>
      </c>
      <c r="G137">
        <v>8</v>
      </c>
      <c r="H137" s="2">
        <f>VLOOKUP(A137, ETR!A:K, 11, FALSE)</f>
        <v>1.7000000000000001E-2</v>
      </c>
      <c r="I137">
        <f>VLOOKUP(A137, ETR!A:K, 7, FALSE)</f>
        <v>2.5</v>
      </c>
      <c r="J137">
        <f>VLOOKUP(A137, ETR!A:K, 8, FALSE)</f>
        <v>9.5</v>
      </c>
      <c r="K137">
        <f t="shared" si="2"/>
        <v>15.75</v>
      </c>
      <c r="L137">
        <f>VLOOKUP(A137, ETR!A:K, 9, FALSE)</f>
        <v>19.3</v>
      </c>
      <c r="M137">
        <f>VLOOKUP(D137,ITT!A:D,4,FALSE)</f>
        <v>25.5</v>
      </c>
    </row>
    <row r="138" spans="1:15" x14ac:dyDescent="0.25">
      <c r="A138">
        <v>40470332</v>
      </c>
      <c r="B138" t="s">
        <v>10</v>
      </c>
      <c r="C138" t="s">
        <v>105</v>
      </c>
      <c r="D138" t="s">
        <v>9</v>
      </c>
      <c r="E138">
        <v>4400</v>
      </c>
      <c r="F138" t="s">
        <v>293</v>
      </c>
      <c r="G138">
        <v>4</v>
      </c>
      <c r="H138" s="2">
        <f>VLOOKUP(A138, ETR!A:K, 11, FALSE)</f>
        <v>7.0000000000000007E-2</v>
      </c>
      <c r="I138">
        <f>VLOOKUP(A138, ETR!A:K, 7, FALSE)</f>
        <v>3</v>
      </c>
      <c r="J138">
        <f>VLOOKUP(A138, ETR!A:K, 8, FALSE)</f>
        <v>11.4</v>
      </c>
      <c r="K138">
        <f t="shared" si="2"/>
        <v>15.400000000000002</v>
      </c>
      <c r="L138">
        <f>VLOOKUP(A138, ETR!A:K, 9, FALSE)</f>
        <v>23</v>
      </c>
      <c r="M138">
        <f>VLOOKUP(D138,ITT!A:D,4,FALSE)</f>
        <v>25.75</v>
      </c>
    </row>
    <row r="139" spans="1:15" x14ac:dyDescent="0.25">
      <c r="A139">
        <v>40470334</v>
      </c>
      <c r="B139" t="s">
        <v>10</v>
      </c>
      <c r="C139" t="s">
        <v>113</v>
      </c>
      <c r="D139" t="s">
        <v>31</v>
      </c>
      <c r="E139">
        <v>4300</v>
      </c>
      <c r="F139" t="s">
        <v>295</v>
      </c>
      <c r="G139">
        <v>5</v>
      </c>
      <c r="H139" s="2">
        <f>VLOOKUP(A139, ETR!A:K, 11, FALSE)</f>
        <v>1.6E-2</v>
      </c>
      <c r="I139">
        <f>VLOOKUP(A139, ETR!A:K, 7, FALSE)</f>
        <v>2.1</v>
      </c>
      <c r="J139">
        <f>VLOOKUP(A139, ETR!A:K, 8, FALSE)</f>
        <v>9.5</v>
      </c>
      <c r="K139">
        <f t="shared" ref="K139:K169" si="3">(E139/1000)*3.5</f>
        <v>15.049999999999999</v>
      </c>
      <c r="L139">
        <f>VLOOKUP(A139, ETR!A:K, 9, FALSE)</f>
        <v>19.3</v>
      </c>
      <c r="M139">
        <f>VLOOKUP(D139,ITT!A:D,4,FALSE)</f>
        <v>18</v>
      </c>
    </row>
    <row r="140" spans="1:15" x14ac:dyDescent="0.25">
      <c r="A140">
        <v>40470336</v>
      </c>
      <c r="B140" t="s">
        <v>10</v>
      </c>
      <c r="C140" t="s">
        <v>114</v>
      </c>
      <c r="D140" t="s">
        <v>25</v>
      </c>
      <c r="E140">
        <v>4300</v>
      </c>
      <c r="F140" t="s">
        <v>299</v>
      </c>
      <c r="G140">
        <v>8</v>
      </c>
      <c r="H140" s="2">
        <f>VLOOKUP(A140, ETR!A:K, 11, FALSE)</f>
        <v>0.107</v>
      </c>
      <c r="I140">
        <f>VLOOKUP(A140, ETR!A:K, 7, FALSE)</f>
        <v>3</v>
      </c>
      <c r="J140">
        <f>VLOOKUP(A140, ETR!A:K, 8, FALSE)</f>
        <v>11.5</v>
      </c>
      <c r="K140">
        <f t="shared" si="3"/>
        <v>15.049999999999999</v>
      </c>
      <c r="L140">
        <f>VLOOKUP(A140, ETR!A:K, 9, FALSE)</f>
        <v>23.1</v>
      </c>
      <c r="M140">
        <f>VLOOKUP(D140,ITT!A:D,4,FALSE)</f>
        <v>25.5</v>
      </c>
      <c r="O140" t="s">
        <v>422</v>
      </c>
    </row>
    <row r="141" spans="1:15" x14ac:dyDescent="0.25">
      <c r="A141">
        <v>40470340</v>
      </c>
      <c r="B141" t="s">
        <v>10</v>
      </c>
      <c r="C141" t="s">
        <v>115</v>
      </c>
      <c r="D141" t="s">
        <v>26</v>
      </c>
      <c r="E141">
        <v>4200</v>
      </c>
      <c r="F141" t="s">
        <v>297</v>
      </c>
      <c r="G141">
        <v>2</v>
      </c>
      <c r="H141" s="2">
        <f>VLOOKUP(A141, ETR!A:K, 11, FALSE)</f>
        <v>0</v>
      </c>
      <c r="I141">
        <f>VLOOKUP(A141, ETR!A:K, 7, FALSE)</f>
        <v>0</v>
      </c>
      <c r="J141">
        <f>VLOOKUP(A141, ETR!A:K, 8, FALSE)</f>
        <v>3.6</v>
      </c>
      <c r="K141">
        <f t="shared" si="3"/>
        <v>14.700000000000001</v>
      </c>
      <c r="L141">
        <f>VLOOKUP(A141, ETR!A:K, 9, FALSE)</f>
        <v>9.4</v>
      </c>
      <c r="M141">
        <f>VLOOKUP(D141,ITT!A:D,4,FALSE)</f>
        <v>25</v>
      </c>
    </row>
    <row r="142" spans="1:15" x14ac:dyDescent="0.25">
      <c r="A142">
        <v>40470338</v>
      </c>
      <c r="B142" t="s">
        <v>10</v>
      </c>
      <c r="C142" t="s">
        <v>120</v>
      </c>
      <c r="D142" t="s">
        <v>45</v>
      </c>
      <c r="E142">
        <v>4200</v>
      </c>
      <c r="F142" t="s">
        <v>301</v>
      </c>
      <c r="G142">
        <v>9</v>
      </c>
      <c r="H142" s="2">
        <f>VLOOKUP(A142, ETR!A:K, 11, FALSE)</f>
        <v>7.5999999999999998E-2</v>
      </c>
      <c r="I142">
        <f>VLOOKUP(A142, ETR!A:K, 7, FALSE)</f>
        <v>2.6</v>
      </c>
      <c r="J142">
        <f>VLOOKUP(A142, ETR!A:K, 8, FALSE)</f>
        <v>10.1</v>
      </c>
      <c r="K142">
        <f t="shared" si="3"/>
        <v>14.700000000000001</v>
      </c>
      <c r="L142">
        <f>VLOOKUP(A142, ETR!A:K, 9, FALSE)</f>
        <v>20.399999999999999</v>
      </c>
      <c r="M142">
        <f>VLOOKUP(D142,ITT!A:D,4,FALSE)</f>
        <v>27</v>
      </c>
      <c r="N142" t="s">
        <v>376</v>
      </c>
      <c r="O142" t="s">
        <v>389</v>
      </c>
    </row>
    <row r="143" spans="1:15" x14ac:dyDescent="0.25">
      <c r="A143">
        <v>40470344</v>
      </c>
      <c r="B143" t="s">
        <v>10</v>
      </c>
      <c r="C143" t="s">
        <v>121</v>
      </c>
      <c r="D143" t="s">
        <v>26</v>
      </c>
      <c r="E143">
        <v>4100</v>
      </c>
      <c r="F143" t="s">
        <v>297</v>
      </c>
      <c r="G143">
        <v>2</v>
      </c>
      <c r="H143" s="2">
        <f>VLOOKUP(A143, ETR!A:K, 11, FALSE)</f>
        <v>2E-3</v>
      </c>
      <c r="I143">
        <f>VLOOKUP(A143, ETR!A:K, 7, FALSE)</f>
        <v>0.6</v>
      </c>
      <c r="J143">
        <f>VLOOKUP(A143, ETR!A:K, 8, FALSE)</f>
        <v>5.8</v>
      </c>
      <c r="K143">
        <f t="shared" si="3"/>
        <v>14.349999999999998</v>
      </c>
      <c r="L143">
        <f>VLOOKUP(A143, ETR!A:K, 9, FALSE)</f>
        <v>13.2</v>
      </c>
      <c r="M143">
        <f>VLOOKUP(D143,ITT!A:D,4,FALSE)</f>
        <v>25</v>
      </c>
    </row>
    <row r="144" spans="1:15" x14ac:dyDescent="0.25">
      <c r="A144">
        <v>40470342</v>
      </c>
      <c r="B144" t="s">
        <v>10</v>
      </c>
      <c r="C144" s="1" t="s">
        <v>123</v>
      </c>
      <c r="D144" t="s">
        <v>33</v>
      </c>
      <c r="E144">
        <v>4100</v>
      </c>
      <c r="F144" t="s">
        <v>292</v>
      </c>
      <c r="G144">
        <v>3</v>
      </c>
      <c r="H144" s="2">
        <f>VLOOKUP(A144, ETR!A:K, 11, FALSE)</f>
        <v>6.3E-2</v>
      </c>
      <c r="I144">
        <f>VLOOKUP(A144, ETR!A:K, 7, FALSE)</f>
        <v>3.2</v>
      </c>
      <c r="J144">
        <f>VLOOKUP(A144, ETR!A:K, 8, FALSE)</f>
        <v>10.9</v>
      </c>
      <c r="K144">
        <f t="shared" si="3"/>
        <v>14.349999999999998</v>
      </c>
      <c r="L144">
        <f>VLOOKUP(A144, ETR!A:K, 9, FALSE)</f>
        <v>20.8</v>
      </c>
      <c r="M144">
        <f>VLOOKUP(D144,ITT!A:D,4,FALSE)</f>
        <v>16.75</v>
      </c>
    </row>
    <row r="145" spans="1:15" x14ac:dyDescent="0.25">
      <c r="A145">
        <v>40470350</v>
      </c>
      <c r="B145" t="s">
        <v>10</v>
      </c>
      <c r="C145" s="6" t="s">
        <v>134</v>
      </c>
      <c r="D145" t="s">
        <v>41</v>
      </c>
      <c r="E145">
        <v>4000</v>
      </c>
      <c r="F145" t="s">
        <v>294</v>
      </c>
      <c r="G145">
        <v>1</v>
      </c>
      <c r="H145" s="2">
        <f>VLOOKUP(A145, ETR!A:K, 11, FALSE)</f>
        <v>1.4E-2</v>
      </c>
      <c r="I145">
        <f>VLOOKUP(A145, ETR!A:K, 7, FALSE)</f>
        <v>1.8</v>
      </c>
      <c r="J145">
        <f>VLOOKUP(A145, ETR!A:K, 8, FALSE)</f>
        <v>8.1</v>
      </c>
      <c r="K145">
        <f t="shared" si="3"/>
        <v>14</v>
      </c>
      <c r="L145">
        <f>VLOOKUP(A145, ETR!A:K, 9, FALSE)</f>
        <v>16.3</v>
      </c>
      <c r="M145">
        <f>VLOOKUP(D145,ITT!A:D,4,FALSE)</f>
        <v>19.5</v>
      </c>
      <c r="O145" t="s">
        <v>413</v>
      </c>
    </row>
    <row r="146" spans="1:15" x14ac:dyDescent="0.25">
      <c r="A146">
        <v>40470354</v>
      </c>
      <c r="B146" t="s">
        <v>10</v>
      </c>
      <c r="C146" t="s">
        <v>156</v>
      </c>
      <c r="D146" t="s">
        <v>45</v>
      </c>
      <c r="E146">
        <v>3900</v>
      </c>
      <c r="F146" t="s">
        <v>301</v>
      </c>
      <c r="G146">
        <v>9</v>
      </c>
      <c r="H146" s="2">
        <f>VLOOKUP(A146, ETR!A:K, 11, FALSE)</f>
        <v>4.7E-2</v>
      </c>
      <c r="I146">
        <f>VLOOKUP(A146, ETR!A:K, 7, FALSE)</f>
        <v>2.2000000000000002</v>
      </c>
      <c r="J146">
        <f>VLOOKUP(A146, ETR!A:K, 8, FALSE)</f>
        <v>8.9</v>
      </c>
      <c r="K146">
        <f t="shared" si="3"/>
        <v>13.65</v>
      </c>
      <c r="L146">
        <f>VLOOKUP(A146, ETR!A:K, 9, FALSE)</f>
        <v>18.100000000000001</v>
      </c>
      <c r="M146">
        <f>VLOOKUP(D146,ITT!A:D,4,FALSE)</f>
        <v>27</v>
      </c>
    </row>
    <row r="147" spans="1:15" x14ac:dyDescent="0.25">
      <c r="A147">
        <v>40470356</v>
      </c>
      <c r="B147" t="s">
        <v>10</v>
      </c>
      <c r="C147" t="s">
        <v>157</v>
      </c>
      <c r="D147" t="s">
        <v>76</v>
      </c>
      <c r="E147">
        <v>3900</v>
      </c>
      <c r="F147" t="s">
        <v>300</v>
      </c>
      <c r="G147">
        <v>10</v>
      </c>
      <c r="H147" s="2">
        <f>VLOOKUP(A147, ETR!A:K, 11, FALSE)</f>
        <v>4.4999999999999998E-2</v>
      </c>
      <c r="I147">
        <f>VLOOKUP(A147, ETR!A:K, 7, FALSE)</f>
        <v>2.4</v>
      </c>
      <c r="J147">
        <f>VLOOKUP(A147, ETR!A:K, 8, FALSE)</f>
        <v>9.8000000000000007</v>
      </c>
      <c r="K147">
        <f t="shared" si="3"/>
        <v>13.65</v>
      </c>
      <c r="L147">
        <f>VLOOKUP(A147, ETR!A:K, 9, FALSE)</f>
        <v>19.2</v>
      </c>
      <c r="M147">
        <f>VLOOKUP(D147,ITT!A:D,4,FALSE)</f>
        <v>16</v>
      </c>
      <c r="N147" t="s">
        <v>377</v>
      </c>
      <c r="O147" t="s">
        <v>423</v>
      </c>
    </row>
    <row r="148" spans="1:15" x14ac:dyDescent="0.25">
      <c r="A148">
        <v>40470358</v>
      </c>
      <c r="B148" t="s">
        <v>10</v>
      </c>
      <c r="C148" t="s">
        <v>159</v>
      </c>
      <c r="D148" t="s">
        <v>41</v>
      </c>
      <c r="E148">
        <v>3800</v>
      </c>
      <c r="F148" t="s">
        <v>294</v>
      </c>
      <c r="G148">
        <v>1</v>
      </c>
      <c r="H148" s="2">
        <f>VLOOKUP(A148, ETR!A:K, 11, FALSE)</f>
        <v>4.0000000000000001E-3</v>
      </c>
      <c r="I148">
        <f>VLOOKUP(A148, ETR!A:K, 7, FALSE)</f>
        <v>0.8</v>
      </c>
      <c r="J148">
        <f>VLOOKUP(A148, ETR!A:K, 8, FALSE)</f>
        <v>5.9</v>
      </c>
      <c r="K148">
        <f t="shared" si="3"/>
        <v>13.299999999999999</v>
      </c>
      <c r="L148">
        <f>VLOOKUP(A148, ETR!A:K, 9, FALSE)</f>
        <v>12.9</v>
      </c>
      <c r="M148">
        <f>VLOOKUP(D148,ITT!A:D,4,FALSE)</f>
        <v>19.5</v>
      </c>
    </row>
    <row r="149" spans="1:15" x14ac:dyDescent="0.25">
      <c r="A149">
        <v>40470360</v>
      </c>
      <c r="B149" t="s">
        <v>10</v>
      </c>
      <c r="C149" t="s">
        <v>158</v>
      </c>
      <c r="D149" t="s">
        <v>39</v>
      </c>
      <c r="E149">
        <v>3800</v>
      </c>
      <c r="F149" t="s">
        <v>297</v>
      </c>
      <c r="G149">
        <v>2</v>
      </c>
      <c r="H149" s="2">
        <f>VLOOKUP(A149, ETR!A:K, 11, FALSE)</f>
        <v>2E-3</v>
      </c>
      <c r="I149">
        <f>VLOOKUP(A149, ETR!A:K, 7, FALSE)</f>
        <v>0.5</v>
      </c>
      <c r="J149">
        <f>VLOOKUP(A149, ETR!A:K, 8, FALSE)</f>
        <v>5.0999999999999996</v>
      </c>
      <c r="K149">
        <f t="shared" si="3"/>
        <v>13.299999999999999</v>
      </c>
      <c r="L149">
        <f>VLOOKUP(A149, ETR!A:K, 9, FALSE)</f>
        <v>11.8</v>
      </c>
      <c r="M149">
        <f>VLOOKUP(D149,ITT!A:D,4,FALSE)</f>
        <v>21.5</v>
      </c>
    </row>
    <row r="150" spans="1:15" x14ac:dyDescent="0.25">
      <c r="A150">
        <v>40470362</v>
      </c>
      <c r="B150" t="s">
        <v>10</v>
      </c>
      <c r="C150" t="s">
        <v>160</v>
      </c>
      <c r="D150" t="s">
        <v>43</v>
      </c>
      <c r="E150">
        <v>3800</v>
      </c>
      <c r="F150" t="s">
        <v>292</v>
      </c>
      <c r="G150">
        <v>3</v>
      </c>
      <c r="H150" s="2">
        <f>VLOOKUP(A150, ETR!A:K, 11, FALSE)</f>
        <v>2E-3</v>
      </c>
      <c r="I150">
        <f>VLOOKUP(A150, ETR!A:K, 7, FALSE)</f>
        <v>0.8</v>
      </c>
      <c r="J150">
        <f>VLOOKUP(A150, ETR!A:K, 8, FALSE)</f>
        <v>5.7</v>
      </c>
      <c r="K150">
        <f t="shared" si="3"/>
        <v>13.299999999999999</v>
      </c>
      <c r="L150">
        <f>VLOOKUP(A150, ETR!A:K, 9, FALSE)</f>
        <v>12.8</v>
      </c>
      <c r="M150">
        <f>VLOOKUP(D150,ITT!A:D,4,FALSE)</f>
        <v>23.75</v>
      </c>
    </row>
    <row r="151" spans="1:15" x14ac:dyDescent="0.25">
      <c r="A151">
        <v>40470368</v>
      </c>
      <c r="B151" t="s">
        <v>10</v>
      </c>
      <c r="C151" t="s">
        <v>164</v>
      </c>
      <c r="D151" t="s">
        <v>21</v>
      </c>
      <c r="E151">
        <v>3700</v>
      </c>
      <c r="F151" t="s">
        <v>293</v>
      </c>
      <c r="G151">
        <v>4</v>
      </c>
      <c r="H151" s="2">
        <f>VLOOKUP(A151, ETR!A:K, 11, FALSE)</f>
        <v>2.1000000000000001E-2</v>
      </c>
      <c r="I151">
        <f>VLOOKUP(A151, ETR!A:K, 7, FALSE)</f>
        <v>2.6</v>
      </c>
      <c r="J151">
        <f>VLOOKUP(A151, ETR!A:K, 8, FALSE)</f>
        <v>8.8000000000000007</v>
      </c>
      <c r="K151">
        <f t="shared" si="3"/>
        <v>12.950000000000001</v>
      </c>
      <c r="L151">
        <f>VLOOKUP(A151, ETR!A:K, 9, FALSE)</f>
        <v>16.8</v>
      </c>
      <c r="M151">
        <f>VLOOKUP(D151,ITT!A:D,4,FALSE)</f>
        <v>18.75</v>
      </c>
    </row>
    <row r="152" spans="1:15" x14ac:dyDescent="0.25">
      <c r="A152">
        <v>40470364</v>
      </c>
      <c r="B152" t="s">
        <v>10</v>
      </c>
      <c r="C152" t="s">
        <v>165</v>
      </c>
      <c r="D152" t="s">
        <v>22</v>
      </c>
      <c r="E152">
        <v>3700</v>
      </c>
      <c r="F152" t="s">
        <v>296</v>
      </c>
      <c r="G152">
        <v>7</v>
      </c>
      <c r="H152" s="2">
        <f>VLOOKUP(A152, ETR!A:K, 11, FALSE)</f>
        <v>1.2E-2</v>
      </c>
      <c r="I152">
        <f>VLOOKUP(A152, ETR!A:K, 7, FALSE)</f>
        <v>1.5</v>
      </c>
      <c r="J152">
        <f>VLOOKUP(A152, ETR!A:K, 8, FALSE)</f>
        <v>7.8</v>
      </c>
      <c r="K152">
        <f t="shared" si="3"/>
        <v>12.950000000000001</v>
      </c>
      <c r="L152">
        <f>VLOOKUP(A152, ETR!A:K, 9, FALSE)</f>
        <v>16.5</v>
      </c>
      <c r="M152">
        <f>VLOOKUP(D152,ITT!A:D,4,FALSE)</f>
        <v>21.5</v>
      </c>
    </row>
    <row r="153" spans="1:15" x14ac:dyDescent="0.25">
      <c r="A153">
        <v>40470366</v>
      </c>
      <c r="B153" t="s">
        <v>10</v>
      </c>
      <c r="C153" t="s">
        <v>167</v>
      </c>
      <c r="D153" t="s">
        <v>25</v>
      </c>
      <c r="E153">
        <v>3700</v>
      </c>
      <c r="F153" t="s">
        <v>299</v>
      </c>
      <c r="G153">
        <v>8</v>
      </c>
      <c r="H153" s="2">
        <f>VLOOKUP(A153, ETR!A:K, 11, FALSE)</f>
        <v>0</v>
      </c>
      <c r="I153">
        <f>VLOOKUP(A153, ETR!A:K, 7, FALSE)</f>
        <v>0</v>
      </c>
      <c r="J153">
        <f>VLOOKUP(A153, ETR!A:K, 8, FALSE)</f>
        <v>1.9</v>
      </c>
      <c r="K153">
        <f t="shared" si="3"/>
        <v>12.950000000000001</v>
      </c>
      <c r="L153">
        <f>VLOOKUP(A153, ETR!A:K, 9, FALSE)</f>
        <v>6.1</v>
      </c>
      <c r="M153">
        <f>VLOOKUP(D153,ITT!A:D,4,FALSE)</f>
        <v>25.5</v>
      </c>
    </row>
    <row r="154" spans="1:15" x14ac:dyDescent="0.25">
      <c r="A154">
        <v>40470370</v>
      </c>
      <c r="B154" t="s">
        <v>10</v>
      </c>
      <c r="C154" t="s">
        <v>171</v>
      </c>
      <c r="D154" t="s">
        <v>14</v>
      </c>
      <c r="E154">
        <v>3600</v>
      </c>
      <c r="F154" t="s">
        <v>301</v>
      </c>
      <c r="G154">
        <v>9</v>
      </c>
      <c r="H154" s="2">
        <f>VLOOKUP(A154, ETR!A:K, 11, FALSE)</f>
        <v>0</v>
      </c>
      <c r="I154">
        <f>VLOOKUP(A154, ETR!A:K, 7, FALSE)</f>
        <v>0</v>
      </c>
      <c r="J154">
        <f>VLOOKUP(A154, ETR!A:K, 8, FALSE)</f>
        <v>0.7</v>
      </c>
      <c r="K154">
        <f t="shared" si="3"/>
        <v>12.6</v>
      </c>
      <c r="L154">
        <f>VLOOKUP(A154, ETR!A:K, 9, FALSE)</f>
        <v>2.9</v>
      </c>
      <c r="M154">
        <f>VLOOKUP(D154,ITT!A:D,4,FALSE)</f>
        <v>23.5</v>
      </c>
    </row>
    <row r="155" spans="1:15" x14ac:dyDescent="0.25">
      <c r="A155">
        <v>40470372</v>
      </c>
      <c r="B155" t="s">
        <v>10</v>
      </c>
      <c r="C155" t="s">
        <v>169</v>
      </c>
      <c r="D155" t="s">
        <v>12</v>
      </c>
      <c r="E155">
        <v>3600</v>
      </c>
      <c r="F155" t="s">
        <v>298</v>
      </c>
      <c r="G155">
        <v>6</v>
      </c>
      <c r="H155" s="2">
        <f>VLOOKUP(A155, ETR!A:K, 11, FALSE)</f>
        <v>4.0000000000000001E-3</v>
      </c>
      <c r="I155">
        <f>VLOOKUP(A155, ETR!A:K, 7, FALSE)</f>
        <v>0.5</v>
      </c>
      <c r="J155">
        <f>VLOOKUP(A155, ETR!A:K, 8, FALSE)</f>
        <v>5.5</v>
      </c>
      <c r="K155">
        <f t="shared" si="3"/>
        <v>12.6</v>
      </c>
      <c r="L155">
        <f>VLOOKUP(A155, ETR!A:K, 9, FALSE)</f>
        <v>12.6</v>
      </c>
      <c r="M155">
        <f>VLOOKUP(D155,ITT!A:D,4,FALSE)</f>
        <v>25.5</v>
      </c>
    </row>
    <row r="156" spans="1:15" x14ac:dyDescent="0.25">
      <c r="A156">
        <v>40470378</v>
      </c>
      <c r="B156" t="s">
        <v>10</v>
      </c>
      <c r="C156" t="s">
        <v>173</v>
      </c>
      <c r="D156" t="s">
        <v>19</v>
      </c>
      <c r="E156">
        <v>3500</v>
      </c>
      <c r="F156" t="s">
        <v>294</v>
      </c>
      <c r="G156">
        <v>1</v>
      </c>
      <c r="H156" s="2">
        <f>VLOOKUP(A156, ETR!A:K, 11, FALSE)</f>
        <v>2E-3</v>
      </c>
      <c r="I156">
        <f>VLOOKUP(A156, ETR!A:K, 7, FALSE)</f>
        <v>0</v>
      </c>
      <c r="J156">
        <f>VLOOKUP(A156, ETR!A:K, 8, FALSE)</f>
        <v>2</v>
      </c>
      <c r="K156">
        <f t="shared" si="3"/>
        <v>12.25</v>
      </c>
      <c r="L156">
        <f>VLOOKUP(A156, ETR!A:K, 9, FALSE)</f>
        <v>6.2</v>
      </c>
      <c r="M156">
        <f>VLOOKUP(D156,ITT!A:D,4,FALSE)</f>
        <v>27</v>
      </c>
    </row>
    <row r="157" spans="1:15" x14ac:dyDescent="0.25">
      <c r="A157">
        <v>40470376</v>
      </c>
      <c r="B157" t="s">
        <v>10</v>
      </c>
      <c r="C157" t="s">
        <v>175</v>
      </c>
      <c r="D157" t="s">
        <v>22</v>
      </c>
      <c r="E157">
        <v>3500</v>
      </c>
      <c r="F157" t="s">
        <v>296</v>
      </c>
      <c r="G157">
        <v>7</v>
      </c>
      <c r="H157" s="2">
        <f>VLOOKUP(A157, ETR!A:K, 11, FALSE)</f>
        <v>0.04</v>
      </c>
      <c r="I157">
        <f>VLOOKUP(A157, ETR!A:K, 7, FALSE)</f>
        <v>1.7</v>
      </c>
      <c r="J157">
        <f>VLOOKUP(A157, ETR!A:K, 8, FALSE)</f>
        <v>8.5</v>
      </c>
      <c r="K157">
        <f t="shared" si="3"/>
        <v>12.25</v>
      </c>
      <c r="L157">
        <f>VLOOKUP(A157, ETR!A:K, 9, FALSE)</f>
        <v>17.7</v>
      </c>
      <c r="M157">
        <f>VLOOKUP(D157,ITT!A:D,4,FALSE)</f>
        <v>21.5</v>
      </c>
    </row>
    <row r="158" spans="1:15" x14ac:dyDescent="0.25">
      <c r="A158">
        <v>40470380</v>
      </c>
      <c r="B158" t="s">
        <v>10</v>
      </c>
      <c r="C158" t="s">
        <v>176</v>
      </c>
      <c r="D158" t="s">
        <v>22</v>
      </c>
      <c r="E158">
        <v>3500</v>
      </c>
      <c r="F158" t="s">
        <v>296</v>
      </c>
      <c r="G158">
        <v>7</v>
      </c>
      <c r="H158" s="2">
        <f>VLOOKUP(A158, ETR!A:K, 11, FALSE)</f>
        <v>0.08</v>
      </c>
      <c r="I158">
        <f>VLOOKUP(A158, ETR!A:K, 7, FALSE)</f>
        <v>2</v>
      </c>
      <c r="J158">
        <f>VLOOKUP(A158, ETR!A:K, 8, FALSE)</f>
        <v>8.6999999999999993</v>
      </c>
      <c r="K158">
        <f t="shared" si="3"/>
        <v>12.25</v>
      </c>
      <c r="L158">
        <f>VLOOKUP(A158, ETR!A:K, 9, FALSE)</f>
        <v>17.7</v>
      </c>
      <c r="M158">
        <f>VLOOKUP(D158,ITT!A:D,4,FALSE)</f>
        <v>21.5</v>
      </c>
    </row>
    <row r="159" spans="1:15" x14ac:dyDescent="0.25">
      <c r="A159">
        <v>40470386</v>
      </c>
      <c r="B159" t="s">
        <v>10</v>
      </c>
      <c r="C159" t="s">
        <v>177</v>
      </c>
      <c r="D159" t="s">
        <v>47</v>
      </c>
      <c r="E159">
        <v>3400</v>
      </c>
      <c r="F159" t="s">
        <v>298</v>
      </c>
      <c r="G159">
        <v>6</v>
      </c>
      <c r="H159" s="2">
        <f>VLOOKUP(A159, ETR!A:K, 11, FALSE)</f>
        <v>8.9999999999999993E-3</v>
      </c>
      <c r="I159">
        <f>VLOOKUP(A159, ETR!A:K, 7, FALSE)</f>
        <v>1.2</v>
      </c>
      <c r="J159">
        <f>VLOOKUP(A159, ETR!A:K, 8, FALSE)</f>
        <v>6.9</v>
      </c>
      <c r="K159">
        <f t="shared" si="3"/>
        <v>11.9</v>
      </c>
      <c r="L159">
        <f>VLOOKUP(A159, ETR!A:K, 9, FALSE)</f>
        <v>14.4</v>
      </c>
      <c r="M159">
        <f>VLOOKUP(D159,ITT!A:D,4,FALSE)</f>
        <v>19</v>
      </c>
    </row>
    <row r="160" spans="1:15" x14ac:dyDescent="0.25">
      <c r="A160">
        <v>40470384</v>
      </c>
      <c r="B160" t="s">
        <v>10</v>
      </c>
      <c r="C160" t="s">
        <v>181</v>
      </c>
      <c r="D160" t="s">
        <v>76</v>
      </c>
      <c r="E160">
        <v>3400</v>
      </c>
      <c r="F160" t="s">
        <v>300</v>
      </c>
      <c r="G160">
        <v>10</v>
      </c>
      <c r="H160" s="2">
        <f>VLOOKUP(A160, ETR!A:K, 11, FALSE)</f>
        <v>2.1999999999999999E-2</v>
      </c>
      <c r="I160">
        <f>VLOOKUP(A160, ETR!A:K, 7, FALSE)</f>
        <v>1.7</v>
      </c>
      <c r="J160">
        <f>VLOOKUP(A160, ETR!A:K, 8, FALSE)</f>
        <v>7.6</v>
      </c>
      <c r="K160">
        <f t="shared" si="3"/>
        <v>11.9</v>
      </c>
      <c r="L160">
        <f>VLOOKUP(A160, ETR!A:K, 9, FALSE)</f>
        <v>15.2</v>
      </c>
      <c r="M160">
        <f>VLOOKUP(D160,ITT!A:D,4,FALSE)</f>
        <v>16</v>
      </c>
    </row>
    <row r="161" spans="1:13" x14ac:dyDescent="0.25">
      <c r="A161">
        <v>40470390</v>
      </c>
      <c r="B161" t="s">
        <v>10</v>
      </c>
      <c r="C161" t="s">
        <v>183</v>
      </c>
      <c r="D161" t="s">
        <v>39</v>
      </c>
      <c r="E161">
        <v>3300</v>
      </c>
      <c r="F161" t="s">
        <v>297</v>
      </c>
      <c r="G161">
        <v>2</v>
      </c>
      <c r="H161" s="2">
        <f>VLOOKUP(A161, ETR!A:K, 11, FALSE)</f>
        <v>6.0000000000000001E-3</v>
      </c>
      <c r="I161">
        <f>VLOOKUP(A161, ETR!A:K, 7, FALSE)</f>
        <v>1.6</v>
      </c>
      <c r="J161">
        <f>VLOOKUP(A161, ETR!A:K, 8, FALSE)</f>
        <v>7.3</v>
      </c>
      <c r="K161">
        <f t="shared" si="3"/>
        <v>11.549999999999999</v>
      </c>
      <c r="L161">
        <f>VLOOKUP(A161, ETR!A:K, 9, FALSE)</f>
        <v>15.2</v>
      </c>
      <c r="M161">
        <f>VLOOKUP(D161,ITT!A:D,4,FALSE)</f>
        <v>21.5</v>
      </c>
    </row>
    <row r="162" spans="1:13" x14ac:dyDescent="0.25">
      <c r="A162">
        <v>40470396</v>
      </c>
      <c r="B162" t="s">
        <v>10</v>
      </c>
      <c r="C162" t="s">
        <v>186</v>
      </c>
      <c r="D162" t="s">
        <v>43</v>
      </c>
      <c r="E162">
        <v>3300</v>
      </c>
      <c r="F162" t="s">
        <v>292</v>
      </c>
      <c r="G162">
        <v>3</v>
      </c>
      <c r="H162" s="2">
        <f>VLOOKUP(A162, ETR!A:K, 11, FALSE)</f>
        <v>0</v>
      </c>
      <c r="I162">
        <f>VLOOKUP(A162, ETR!A:K, 7, FALSE)</f>
        <v>0</v>
      </c>
      <c r="J162">
        <f>VLOOKUP(A162, ETR!A:K, 8, FALSE)</f>
        <v>4.0999999999999996</v>
      </c>
      <c r="K162">
        <f t="shared" si="3"/>
        <v>11.549999999999999</v>
      </c>
      <c r="L162">
        <f>VLOOKUP(A162, ETR!A:K, 9, FALSE)</f>
        <v>10.6</v>
      </c>
      <c r="M162">
        <f>VLOOKUP(D162,ITT!A:D,4,FALSE)</f>
        <v>23.75</v>
      </c>
    </row>
    <row r="163" spans="1:13" x14ac:dyDescent="0.25">
      <c r="A163">
        <v>40470392</v>
      </c>
      <c r="B163" t="s">
        <v>10</v>
      </c>
      <c r="C163" t="s">
        <v>189</v>
      </c>
      <c r="D163" t="s">
        <v>14</v>
      </c>
      <c r="E163">
        <v>3300</v>
      </c>
      <c r="F163" t="s">
        <v>301</v>
      </c>
      <c r="G163">
        <v>9</v>
      </c>
      <c r="H163" s="2">
        <f>VLOOKUP(A163, ETR!A:K, 11, FALSE)</f>
        <v>3.0000000000000001E-3</v>
      </c>
      <c r="I163">
        <f>VLOOKUP(A163, ETR!A:K, 7, FALSE)</f>
        <v>0.7</v>
      </c>
      <c r="J163">
        <f>VLOOKUP(A163, ETR!A:K, 8, FALSE)</f>
        <v>5.6</v>
      </c>
      <c r="K163">
        <f t="shared" si="3"/>
        <v>11.549999999999999</v>
      </c>
      <c r="L163">
        <f>VLOOKUP(A163, ETR!A:K, 9, FALSE)</f>
        <v>12.6</v>
      </c>
      <c r="M163">
        <f>VLOOKUP(D163,ITT!A:D,4,FALSE)</f>
        <v>23.5</v>
      </c>
    </row>
    <row r="164" spans="1:13" x14ac:dyDescent="0.25">
      <c r="A164">
        <v>40470388</v>
      </c>
      <c r="B164" t="s">
        <v>10</v>
      </c>
      <c r="C164" t="s">
        <v>182</v>
      </c>
      <c r="D164" t="s">
        <v>9</v>
      </c>
      <c r="E164">
        <v>3300</v>
      </c>
      <c r="F164" t="s">
        <v>293</v>
      </c>
      <c r="G164">
        <v>4</v>
      </c>
      <c r="H164" s="2">
        <f>VLOOKUP(A164, ETR!A:K, 11, FALSE)</f>
        <v>0</v>
      </c>
      <c r="I164">
        <f>VLOOKUP(A164, ETR!A:K, 7, FALSE)</f>
        <v>0</v>
      </c>
      <c r="J164">
        <f>VLOOKUP(A164, ETR!A:K, 8, FALSE)</f>
        <v>2.2000000000000002</v>
      </c>
      <c r="K164">
        <f t="shared" si="3"/>
        <v>11.549999999999999</v>
      </c>
      <c r="L164">
        <f>VLOOKUP(A164, ETR!A:K, 9, FALSE)</f>
        <v>7</v>
      </c>
      <c r="M164">
        <f>VLOOKUP(D164,ITT!A:D,4,FALSE)</f>
        <v>25.75</v>
      </c>
    </row>
    <row r="165" spans="1:13" x14ac:dyDescent="0.25">
      <c r="A165">
        <v>40470398</v>
      </c>
      <c r="B165" t="s">
        <v>10</v>
      </c>
      <c r="C165" t="s">
        <v>187</v>
      </c>
      <c r="D165" t="s">
        <v>25</v>
      </c>
      <c r="E165">
        <v>3300</v>
      </c>
      <c r="F165" t="s">
        <v>299</v>
      </c>
      <c r="G165">
        <v>8</v>
      </c>
      <c r="H165" s="2">
        <f>VLOOKUP(A165, ETR!A:K, 11, FALSE)</f>
        <v>0</v>
      </c>
      <c r="I165">
        <f>VLOOKUP(A165, ETR!A:K, 7, FALSE)</f>
        <v>0</v>
      </c>
      <c r="J165">
        <f>VLOOKUP(A165, ETR!A:K, 8, FALSE)</f>
        <v>0.7</v>
      </c>
      <c r="K165">
        <f t="shared" si="3"/>
        <v>11.549999999999999</v>
      </c>
      <c r="L165">
        <f>VLOOKUP(A165, ETR!A:K, 9, FALSE)</f>
        <v>2.8</v>
      </c>
      <c r="M165">
        <f>VLOOKUP(D165,ITT!A:D,4,FALSE)</f>
        <v>25.5</v>
      </c>
    </row>
    <row r="166" spans="1:13" x14ac:dyDescent="0.25">
      <c r="A166">
        <v>40470394</v>
      </c>
      <c r="B166" t="s">
        <v>10</v>
      </c>
      <c r="C166" t="s">
        <v>190</v>
      </c>
      <c r="D166" t="s">
        <v>76</v>
      </c>
      <c r="E166">
        <v>3300</v>
      </c>
      <c r="F166" t="s">
        <v>300</v>
      </c>
      <c r="G166">
        <v>10</v>
      </c>
      <c r="H166" s="2">
        <f>VLOOKUP(A166, ETR!A:K, 11, FALSE)</f>
        <v>2.3E-2</v>
      </c>
      <c r="I166">
        <f>VLOOKUP(A166, ETR!A:K, 7, FALSE)</f>
        <v>1.5</v>
      </c>
      <c r="J166">
        <f>VLOOKUP(A166, ETR!A:K, 8, FALSE)</f>
        <v>7.9</v>
      </c>
      <c r="K166">
        <f t="shared" si="3"/>
        <v>11.549999999999999</v>
      </c>
      <c r="L166">
        <f>VLOOKUP(A166, ETR!A:K, 9, FALSE)</f>
        <v>16.2</v>
      </c>
      <c r="M166">
        <f>VLOOKUP(D166,ITT!A:D,4,FALSE)</f>
        <v>16</v>
      </c>
    </row>
    <row r="167" spans="1:13" x14ac:dyDescent="0.25">
      <c r="A167">
        <v>40470400</v>
      </c>
      <c r="B167" t="s">
        <v>10</v>
      </c>
      <c r="C167" t="s">
        <v>191</v>
      </c>
      <c r="D167" t="s">
        <v>19</v>
      </c>
      <c r="E167">
        <v>3200</v>
      </c>
      <c r="F167" t="s">
        <v>294</v>
      </c>
      <c r="G167">
        <v>1</v>
      </c>
      <c r="H167" s="2">
        <f>VLOOKUP(A167, ETR!A:K, 11, FALSE)</f>
        <v>0</v>
      </c>
      <c r="I167">
        <f>VLOOKUP(A167, ETR!A:K, 7, FALSE)</f>
        <v>0</v>
      </c>
      <c r="J167">
        <f>VLOOKUP(A167, ETR!A:K, 8, FALSE)</f>
        <v>3.9</v>
      </c>
      <c r="K167">
        <f t="shared" si="3"/>
        <v>11.200000000000001</v>
      </c>
      <c r="L167">
        <f>VLOOKUP(A167, ETR!A:K, 9, FALSE)</f>
        <v>10.3</v>
      </c>
      <c r="M167">
        <f>VLOOKUP(D167,ITT!A:D,4,FALSE)</f>
        <v>27</v>
      </c>
    </row>
    <row r="168" spans="1:13" x14ac:dyDescent="0.25">
      <c r="A168">
        <v>40470402</v>
      </c>
      <c r="B168" t="s">
        <v>10</v>
      </c>
      <c r="C168" t="s">
        <v>194</v>
      </c>
      <c r="D168" t="s">
        <v>33</v>
      </c>
      <c r="E168">
        <v>3200</v>
      </c>
      <c r="F168" t="s">
        <v>292</v>
      </c>
      <c r="G168">
        <v>3</v>
      </c>
      <c r="H168" s="2">
        <f>VLOOKUP(A168, ETR!A:K, 11, FALSE)</f>
        <v>5.0000000000000001E-3</v>
      </c>
      <c r="I168">
        <f>VLOOKUP(A168, ETR!A:K, 7, FALSE)</f>
        <v>1.6</v>
      </c>
      <c r="J168">
        <f>VLOOKUP(A168, ETR!A:K, 8, FALSE)</f>
        <v>7.4</v>
      </c>
      <c r="K168">
        <f t="shared" si="3"/>
        <v>11.200000000000001</v>
      </c>
      <c r="L168">
        <f>VLOOKUP(A168, ETR!A:K, 9, FALSE)</f>
        <v>15.2</v>
      </c>
      <c r="M168">
        <f>VLOOKUP(D168,ITT!A:D,4,FALSE)</f>
        <v>16.75</v>
      </c>
    </row>
    <row r="169" spans="1:13" x14ac:dyDescent="0.25">
      <c r="A169">
        <v>40470408</v>
      </c>
      <c r="B169" t="s">
        <v>10</v>
      </c>
      <c r="C169" t="s">
        <v>195</v>
      </c>
      <c r="D169" t="s">
        <v>31</v>
      </c>
      <c r="E169">
        <v>3200</v>
      </c>
      <c r="F169" t="s">
        <v>295</v>
      </c>
      <c r="G169">
        <v>5</v>
      </c>
      <c r="H169" s="2">
        <f>VLOOKUP(A169, ETR!A:K, 11, FALSE)</f>
        <v>0</v>
      </c>
      <c r="I169">
        <f>VLOOKUP(A169, ETR!A:K, 7, FALSE)</f>
        <v>0</v>
      </c>
      <c r="J169">
        <f>VLOOKUP(A169, ETR!A:K, 8, FALSE)</f>
        <v>1</v>
      </c>
      <c r="K169">
        <f t="shared" si="3"/>
        <v>11.200000000000001</v>
      </c>
      <c r="L169">
        <f>VLOOKUP(A169, ETR!A:K, 9, FALSE)</f>
        <v>4</v>
      </c>
      <c r="M169">
        <f>VLOOKUP(D169,ITT!A:D,4,FALSE)</f>
        <v>18</v>
      </c>
    </row>
    <row r="170" spans="1:13" x14ac:dyDescent="0.25">
      <c r="A170">
        <v>40470410</v>
      </c>
      <c r="B170" t="s">
        <v>10</v>
      </c>
      <c r="C170" t="s">
        <v>192</v>
      </c>
      <c r="D170" t="s">
        <v>47</v>
      </c>
      <c r="E170">
        <v>3200</v>
      </c>
      <c r="F170" t="s">
        <v>298</v>
      </c>
      <c r="G170">
        <v>6</v>
      </c>
      <c r="H170" s="2">
        <f>VLOOKUP(A170, ETR!A:K, 11, FALSE)</f>
        <v>4.0000000000000001E-3</v>
      </c>
      <c r="I170">
        <f>VLOOKUP(A170, ETR!A:K, 7, FALSE)</f>
        <v>0.5</v>
      </c>
      <c r="J170">
        <f>VLOOKUP(A170, ETR!A:K, 8, FALSE)</f>
        <v>5.2</v>
      </c>
      <c r="K170">
        <f t="shared" ref="K170:K175" si="4">(E170/1000)*3.5</f>
        <v>11.200000000000001</v>
      </c>
      <c r="L170">
        <f>VLOOKUP(A170, ETR!A:K, 9, FALSE)</f>
        <v>11.9</v>
      </c>
      <c r="M170">
        <f>VLOOKUP(D170,ITT!A:D,4,FALSE)</f>
        <v>19</v>
      </c>
    </row>
    <row r="171" spans="1:13" x14ac:dyDescent="0.25">
      <c r="A171">
        <v>40470406</v>
      </c>
      <c r="B171" t="s">
        <v>10</v>
      </c>
      <c r="C171" t="s">
        <v>197</v>
      </c>
      <c r="D171" t="s">
        <v>57</v>
      </c>
      <c r="E171">
        <v>3200</v>
      </c>
      <c r="F171" t="s">
        <v>299</v>
      </c>
      <c r="G171">
        <v>8</v>
      </c>
      <c r="H171" s="2">
        <f>VLOOKUP(A171, ETR!A:K, 11, FALSE)</f>
        <v>0</v>
      </c>
      <c r="I171">
        <f>VLOOKUP(A171, ETR!A:K, 7, FALSE)</f>
        <v>0</v>
      </c>
      <c r="J171">
        <f>VLOOKUP(A171, ETR!A:K, 8, FALSE)</f>
        <v>3.9</v>
      </c>
      <c r="K171">
        <f t="shared" si="4"/>
        <v>11.200000000000001</v>
      </c>
      <c r="L171">
        <f>VLOOKUP(A171, ETR!A:K, 9, FALSE)</f>
        <v>9.8000000000000007</v>
      </c>
      <c r="M171">
        <f>VLOOKUP(D171,ITT!A:D,4,FALSE)</f>
        <v>21</v>
      </c>
    </row>
    <row r="172" spans="1:13" x14ac:dyDescent="0.25">
      <c r="A172">
        <v>40470412</v>
      </c>
      <c r="B172" t="s">
        <v>10</v>
      </c>
      <c r="C172" t="s">
        <v>201</v>
      </c>
      <c r="D172" t="s">
        <v>33</v>
      </c>
      <c r="E172">
        <v>3100</v>
      </c>
      <c r="F172" t="s">
        <v>292</v>
      </c>
      <c r="G172">
        <v>3</v>
      </c>
      <c r="H172" s="2">
        <f>VLOOKUP(A172, ETR!A:K, 11, FALSE)</f>
        <v>0</v>
      </c>
      <c r="I172">
        <f>VLOOKUP(A172, ETR!A:K, 7, FALSE)</f>
        <v>0</v>
      </c>
      <c r="J172">
        <f>VLOOKUP(A172, ETR!A:K, 8, FALSE)</f>
        <v>3.1</v>
      </c>
      <c r="K172">
        <f t="shared" si="4"/>
        <v>10.85</v>
      </c>
      <c r="L172">
        <f>VLOOKUP(A172, ETR!A:K, 9, FALSE)</f>
        <v>8</v>
      </c>
      <c r="M172">
        <f>VLOOKUP(D172,ITT!A:D,4,FALSE)</f>
        <v>16.75</v>
      </c>
    </row>
    <row r="173" spans="1:13" x14ac:dyDescent="0.25">
      <c r="A173">
        <v>40470414</v>
      </c>
      <c r="B173" t="s">
        <v>10</v>
      </c>
      <c r="C173" t="s">
        <v>202</v>
      </c>
      <c r="D173" t="s">
        <v>14</v>
      </c>
      <c r="E173">
        <v>3100</v>
      </c>
      <c r="F173" t="s">
        <v>301</v>
      </c>
      <c r="G173">
        <v>9</v>
      </c>
      <c r="H173" s="2">
        <f>VLOOKUP(A173, ETR!A:K, 11, FALSE)</f>
        <v>0</v>
      </c>
      <c r="I173">
        <f>VLOOKUP(A173, ETR!A:K, 7, FALSE)</f>
        <v>0</v>
      </c>
      <c r="J173">
        <f>VLOOKUP(A173, ETR!A:K, 8, FALSE)</f>
        <v>2.9</v>
      </c>
      <c r="K173">
        <f t="shared" si="4"/>
        <v>10.85</v>
      </c>
      <c r="L173">
        <f>VLOOKUP(A173, ETR!A:K, 9, FALSE)</f>
        <v>8.1</v>
      </c>
      <c r="M173">
        <f>VLOOKUP(D173,ITT!A:D,4,FALSE)</f>
        <v>23.5</v>
      </c>
    </row>
    <row r="174" spans="1:13" x14ac:dyDescent="0.25">
      <c r="A174">
        <v>40470418</v>
      </c>
      <c r="B174" t="s">
        <v>10</v>
      </c>
      <c r="C174" t="s">
        <v>199</v>
      </c>
      <c r="D174" t="s">
        <v>47</v>
      </c>
      <c r="E174">
        <v>3100</v>
      </c>
      <c r="F174" t="s">
        <v>298</v>
      </c>
      <c r="G174">
        <v>6</v>
      </c>
      <c r="H174" s="2">
        <f>VLOOKUP(A174, ETR!A:K, 11, FALSE)</f>
        <v>2E-3</v>
      </c>
      <c r="I174">
        <f>VLOOKUP(A174, ETR!A:K, 7, FALSE)</f>
        <v>0.5</v>
      </c>
      <c r="J174">
        <f>VLOOKUP(A174, ETR!A:K, 8, FALSE)</f>
        <v>4.8</v>
      </c>
      <c r="K174">
        <f t="shared" si="4"/>
        <v>10.85</v>
      </c>
      <c r="L174">
        <f>VLOOKUP(A174, ETR!A:K, 9, FALSE)</f>
        <v>10.8</v>
      </c>
      <c r="M174">
        <f>VLOOKUP(D174,ITT!A:D,4,FALSE)</f>
        <v>19</v>
      </c>
    </row>
    <row r="175" spans="1:13" x14ac:dyDescent="0.25">
      <c r="A175">
        <v>40470420</v>
      </c>
      <c r="B175" t="s">
        <v>10</v>
      </c>
      <c r="C175" t="s">
        <v>200</v>
      </c>
      <c r="D175" t="s">
        <v>7</v>
      </c>
      <c r="E175">
        <v>3100</v>
      </c>
      <c r="F175" t="s">
        <v>296</v>
      </c>
      <c r="G175">
        <v>7</v>
      </c>
      <c r="H175" s="2">
        <f>VLOOKUP(A175, ETR!A:K, 11, FALSE)</f>
        <v>0</v>
      </c>
      <c r="I175">
        <f>VLOOKUP(A175, ETR!A:K, 7, FALSE)</f>
        <v>0</v>
      </c>
      <c r="J175">
        <f>VLOOKUP(A175, ETR!A:K, 8, FALSE)</f>
        <v>3.7</v>
      </c>
      <c r="K175">
        <f t="shared" si="4"/>
        <v>10.85</v>
      </c>
      <c r="L175">
        <f>VLOOKUP(A175, ETR!A:K, 9, FALSE)</f>
        <v>10.1</v>
      </c>
      <c r="M175">
        <f>VLOOKUP(D175,ITT!A:D,4,FALSE)</f>
        <v>20</v>
      </c>
    </row>
  </sheetData>
  <sortState xmlns:xlrd2="http://schemas.microsoft.com/office/spreadsheetml/2017/richdata2" ref="A3:O175">
    <sortCondition ref="B3:B175"/>
    <sortCondition descending="1" ref="E3:E175"/>
  </sortState>
  <conditionalFormatting sqref="H3:H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{38345E64-66F6-4334-AA4F-ABEC3AC86F3C}</x14:id>
        </ext>
      </extLst>
    </cfRule>
  </conditionalFormatting>
  <conditionalFormatting sqref="H23:H42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{CC8DC498-4C77-4AC6-ACFB-310676AFB2EE}</x14:id>
        </ext>
      </extLst>
    </cfRule>
  </conditionalFormatting>
  <conditionalFormatting sqref="H43:H80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{E4D20F62-F204-4802-92D7-E1DBC9310266}</x14:id>
        </ext>
      </extLst>
    </cfRule>
  </conditionalFormatting>
  <conditionalFormatting sqref="H81:H111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{9C971304-47E2-4910-8E98-0822A186ABC2}</x14:id>
        </ext>
      </extLst>
    </cfRule>
  </conditionalFormatting>
  <conditionalFormatting sqref="H112:H17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{B973FDCE-47E8-4BC1-8092-1C84E134DE1E}</x14:id>
        </ext>
      </extLst>
    </cfRule>
  </conditionalFormatting>
  <conditionalFormatting sqref="J3:J22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{B54D38D7-2B35-4302-937F-CD6F8E241B3B}</x14:id>
        </ext>
      </extLst>
    </cfRule>
  </conditionalFormatting>
  <conditionalFormatting sqref="J23:J42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{F1B71E75-2015-495B-AC27-39AF01073290}</x14:id>
        </ext>
      </extLst>
    </cfRule>
  </conditionalFormatting>
  <conditionalFormatting sqref="J43:J80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{06931882-131F-4622-89AD-2C9C5D2183B2}</x14:id>
        </ext>
      </extLst>
    </cfRule>
  </conditionalFormatting>
  <conditionalFormatting sqref="J81:J111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{968969CC-3307-4988-A47F-557EEA7EEE40}</x14:id>
        </ext>
      </extLst>
    </cfRule>
  </conditionalFormatting>
  <conditionalFormatting sqref="J112:J175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{A1735428-C535-48DC-B28D-A4B7DD3C822F}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8345E64-66F6-4334-AA4F-ABEC3AC86F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H3:H22</xm:sqref>
        </x14:conditionalFormatting>
        <x14:conditionalFormatting xmlns:xm="http://schemas.microsoft.com/office/excel/2006/main">
          <x14:cfRule type="dataBar" id="{CC8DC498-4C77-4AC6-ACFB-310676AFB2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H23:H42</xm:sqref>
        </x14:conditionalFormatting>
        <x14:conditionalFormatting xmlns:xm="http://schemas.microsoft.com/office/excel/2006/main">
          <x14:cfRule type="dataBar" id="{E4D20F62-F204-4802-92D7-E1DBC93102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H43:H80</xm:sqref>
        </x14:conditionalFormatting>
        <x14:conditionalFormatting xmlns:xm="http://schemas.microsoft.com/office/excel/2006/main">
          <x14:cfRule type="dataBar" id="{9C971304-47E2-4910-8E98-0822A186AB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H81:H111</xm:sqref>
        </x14:conditionalFormatting>
        <x14:conditionalFormatting xmlns:xm="http://schemas.microsoft.com/office/excel/2006/main">
          <x14:cfRule type="dataBar" id="{B973FDCE-47E8-4BC1-8092-1C84E134DE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H112:H175</xm:sqref>
        </x14:conditionalFormatting>
        <x14:conditionalFormatting xmlns:xm="http://schemas.microsoft.com/office/excel/2006/main">
          <x14:cfRule type="dataBar" id="{B54D38D7-2B35-4302-937F-CD6F8E241B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J3:J22</xm:sqref>
        </x14:conditionalFormatting>
        <x14:conditionalFormatting xmlns:xm="http://schemas.microsoft.com/office/excel/2006/main">
          <x14:cfRule type="dataBar" id="{F1B71E75-2015-495B-AC27-39AF010732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J23:J42</xm:sqref>
        </x14:conditionalFormatting>
        <x14:conditionalFormatting xmlns:xm="http://schemas.microsoft.com/office/excel/2006/main">
          <x14:cfRule type="dataBar" id="{06931882-131F-4622-89AD-2C9C5D2183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J43:J80</xm:sqref>
        </x14:conditionalFormatting>
        <x14:conditionalFormatting xmlns:xm="http://schemas.microsoft.com/office/excel/2006/main">
          <x14:cfRule type="dataBar" id="{968969CC-3307-4988-A47F-557EEA7EEE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J81:J111</xm:sqref>
        </x14:conditionalFormatting>
        <x14:conditionalFormatting xmlns:xm="http://schemas.microsoft.com/office/excel/2006/main">
          <x14:cfRule type="dataBar" id="{A1735428-C535-48DC-B28D-A4B7DD3C82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J112:J175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13E43-56B4-4949-91DC-DCB3D01230B7}">
  <dimension ref="A1:K268"/>
  <sheetViews>
    <sheetView workbookViewId="0"/>
  </sheetViews>
  <sheetFormatPr defaultRowHeight="15" x14ac:dyDescent="0.25"/>
  <sheetData>
    <row r="1" spans="1:11" x14ac:dyDescent="0.25">
      <c r="A1" t="s">
        <v>331</v>
      </c>
      <c r="B1" t="s">
        <v>330</v>
      </c>
      <c r="C1" t="s">
        <v>329</v>
      </c>
      <c r="D1" t="s">
        <v>328</v>
      </c>
      <c r="E1" t="s">
        <v>327</v>
      </c>
      <c r="F1" t="s">
        <v>326</v>
      </c>
      <c r="G1" t="s">
        <v>325</v>
      </c>
      <c r="H1" t="s">
        <v>324</v>
      </c>
      <c r="I1" t="s">
        <v>323</v>
      </c>
      <c r="J1" t="s">
        <v>322</v>
      </c>
      <c r="K1" t="s">
        <v>321</v>
      </c>
    </row>
    <row r="2" spans="1:11" x14ac:dyDescent="0.25">
      <c r="A2">
        <v>40469963</v>
      </c>
      <c r="B2" t="s">
        <v>18</v>
      </c>
      <c r="C2" t="s">
        <v>17</v>
      </c>
      <c r="D2" t="s">
        <v>19</v>
      </c>
      <c r="E2" t="s">
        <v>320</v>
      </c>
      <c r="F2" s="3">
        <v>7500</v>
      </c>
      <c r="G2">
        <v>12.3</v>
      </c>
      <c r="H2">
        <v>22.3</v>
      </c>
      <c r="I2">
        <v>33.700000000000003</v>
      </c>
      <c r="J2">
        <v>-0.9</v>
      </c>
      <c r="K2" s="2">
        <v>5.1999999999999998E-2</v>
      </c>
    </row>
    <row r="3" spans="1:11" x14ac:dyDescent="0.25">
      <c r="A3">
        <v>40469965</v>
      </c>
      <c r="B3" t="s">
        <v>29</v>
      </c>
      <c r="C3" t="s">
        <v>17</v>
      </c>
      <c r="D3" t="s">
        <v>16</v>
      </c>
      <c r="E3" t="s">
        <v>31</v>
      </c>
      <c r="F3" s="3">
        <v>6600</v>
      </c>
      <c r="G3">
        <v>11.1</v>
      </c>
      <c r="H3">
        <v>20.7</v>
      </c>
      <c r="I3">
        <v>31.6</v>
      </c>
      <c r="J3">
        <v>0.3</v>
      </c>
      <c r="K3" s="2">
        <v>0.121</v>
      </c>
    </row>
    <row r="4" spans="1:11" x14ac:dyDescent="0.25">
      <c r="A4">
        <v>40469966</v>
      </c>
      <c r="B4" t="s">
        <v>34</v>
      </c>
      <c r="C4" t="s">
        <v>17</v>
      </c>
      <c r="D4" t="s">
        <v>14</v>
      </c>
      <c r="E4" t="s">
        <v>315</v>
      </c>
      <c r="F4" s="3">
        <v>6500</v>
      </c>
      <c r="G4">
        <v>9.9</v>
      </c>
      <c r="H4">
        <v>19</v>
      </c>
      <c r="I4">
        <v>29.5</v>
      </c>
      <c r="J4">
        <v>-1.1000000000000001</v>
      </c>
      <c r="K4" s="2">
        <v>2.9000000000000001E-2</v>
      </c>
    </row>
    <row r="5" spans="1:11" x14ac:dyDescent="0.25">
      <c r="A5">
        <v>40469967</v>
      </c>
      <c r="B5" t="s">
        <v>36</v>
      </c>
      <c r="C5" t="s">
        <v>17</v>
      </c>
      <c r="D5" t="s">
        <v>25</v>
      </c>
      <c r="E5" t="s">
        <v>317</v>
      </c>
      <c r="F5" s="3">
        <v>6400</v>
      </c>
      <c r="G5">
        <v>11.2</v>
      </c>
      <c r="H5">
        <v>20.6</v>
      </c>
      <c r="I5">
        <v>31.7</v>
      </c>
      <c r="J5">
        <v>0.8</v>
      </c>
      <c r="K5" s="2">
        <v>9.4E-2</v>
      </c>
    </row>
    <row r="6" spans="1:11" x14ac:dyDescent="0.25">
      <c r="A6">
        <v>40469968</v>
      </c>
      <c r="B6" t="s">
        <v>42</v>
      </c>
      <c r="C6" t="s">
        <v>17</v>
      </c>
      <c r="D6" t="s">
        <v>43</v>
      </c>
      <c r="E6" t="s">
        <v>33</v>
      </c>
      <c r="F6" s="3">
        <v>6200</v>
      </c>
      <c r="G6">
        <v>10.6</v>
      </c>
      <c r="H6">
        <v>19.7</v>
      </c>
      <c r="I6">
        <v>30.1</v>
      </c>
      <c r="J6">
        <v>0.5</v>
      </c>
      <c r="K6" s="2">
        <v>4.7E-2</v>
      </c>
    </row>
    <row r="7" spans="1:11" x14ac:dyDescent="0.25">
      <c r="A7">
        <v>40469969</v>
      </c>
      <c r="B7" t="s">
        <v>48</v>
      </c>
      <c r="C7" t="s">
        <v>17</v>
      </c>
      <c r="D7" t="s">
        <v>5</v>
      </c>
      <c r="E7" t="s">
        <v>76</v>
      </c>
      <c r="F7" s="3">
        <v>6100</v>
      </c>
      <c r="G7">
        <v>10.9</v>
      </c>
      <c r="H7">
        <v>19.7</v>
      </c>
      <c r="I7">
        <v>31.2</v>
      </c>
      <c r="J7">
        <v>0.8</v>
      </c>
      <c r="K7" s="2">
        <v>8.6999999999999994E-2</v>
      </c>
    </row>
    <row r="8" spans="1:11" x14ac:dyDescent="0.25">
      <c r="A8">
        <v>40469970</v>
      </c>
      <c r="B8" t="s">
        <v>50</v>
      </c>
      <c r="C8" t="s">
        <v>17</v>
      </c>
      <c r="D8" t="s">
        <v>45</v>
      </c>
      <c r="E8" t="s">
        <v>14</v>
      </c>
      <c r="F8" s="3">
        <v>6000</v>
      </c>
      <c r="G8">
        <v>12.2</v>
      </c>
      <c r="H8">
        <v>22.1</v>
      </c>
      <c r="I8">
        <v>33.299999999999997</v>
      </c>
      <c r="J8">
        <v>3.5</v>
      </c>
      <c r="K8" s="2">
        <v>0.122</v>
      </c>
    </row>
    <row r="9" spans="1:11" x14ac:dyDescent="0.25">
      <c r="A9">
        <v>40469972</v>
      </c>
      <c r="B9" t="s">
        <v>62</v>
      </c>
      <c r="C9" t="s">
        <v>17</v>
      </c>
      <c r="D9" t="s">
        <v>39</v>
      </c>
      <c r="E9" t="s">
        <v>319</v>
      </c>
      <c r="F9" s="3">
        <v>5600</v>
      </c>
      <c r="G9">
        <v>8.6</v>
      </c>
      <c r="H9">
        <v>16.8</v>
      </c>
      <c r="I9">
        <v>26.5</v>
      </c>
      <c r="J9">
        <v>-0.6</v>
      </c>
      <c r="K9" s="2">
        <v>2.8000000000000001E-2</v>
      </c>
    </row>
    <row r="10" spans="1:11" x14ac:dyDescent="0.25">
      <c r="A10">
        <v>40469973</v>
      </c>
      <c r="B10" t="s">
        <v>66</v>
      </c>
      <c r="C10" t="s">
        <v>17</v>
      </c>
      <c r="D10" t="s">
        <v>31</v>
      </c>
      <c r="E10" t="s">
        <v>312</v>
      </c>
      <c r="F10" s="3">
        <v>5500</v>
      </c>
      <c r="G10">
        <v>9.1999999999999993</v>
      </c>
      <c r="H10">
        <v>17.7</v>
      </c>
      <c r="I10">
        <v>27.9</v>
      </c>
      <c r="J10">
        <v>0.6</v>
      </c>
      <c r="K10" s="2">
        <v>0.03</v>
      </c>
    </row>
    <row r="11" spans="1:11" x14ac:dyDescent="0.25">
      <c r="A11">
        <v>40469974</v>
      </c>
      <c r="B11" t="s">
        <v>69</v>
      </c>
      <c r="C11" t="s">
        <v>17</v>
      </c>
      <c r="D11" t="s">
        <v>12</v>
      </c>
      <c r="E11" t="s">
        <v>47</v>
      </c>
      <c r="F11" s="3">
        <v>5400</v>
      </c>
      <c r="G11">
        <v>9.1999999999999993</v>
      </c>
      <c r="H11">
        <v>18</v>
      </c>
      <c r="I11">
        <v>28.1</v>
      </c>
      <c r="J11">
        <v>1.2</v>
      </c>
      <c r="K11" s="2">
        <v>7.6999999999999999E-2</v>
      </c>
    </row>
    <row r="12" spans="1:11" x14ac:dyDescent="0.25">
      <c r="A12">
        <v>40469975</v>
      </c>
      <c r="B12" t="s">
        <v>73</v>
      </c>
      <c r="C12" t="s">
        <v>17</v>
      </c>
      <c r="D12" t="s">
        <v>7</v>
      </c>
      <c r="E12" t="s">
        <v>318</v>
      </c>
      <c r="F12" s="3">
        <v>5300</v>
      </c>
      <c r="G12">
        <v>7.7</v>
      </c>
      <c r="H12">
        <v>15.3</v>
      </c>
      <c r="I12">
        <v>24.6</v>
      </c>
      <c r="J12">
        <v>-1.2</v>
      </c>
      <c r="K12" s="2">
        <v>8.0000000000000002E-3</v>
      </c>
    </row>
    <row r="13" spans="1:11" x14ac:dyDescent="0.25">
      <c r="A13">
        <v>40469977</v>
      </c>
      <c r="B13" t="s">
        <v>78</v>
      </c>
      <c r="C13" t="s">
        <v>17</v>
      </c>
      <c r="D13" t="s">
        <v>22</v>
      </c>
      <c r="E13" t="s">
        <v>7</v>
      </c>
      <c r="F13" s="3">
        <v>5100</v>
      </c>
      <c r="G13">
        <v>8.6999999999999993</v>
      </c>
      <c r="H13">
        <v>16.8</v>
      </c>
      <c r="I13">
        <v>26.4</v>
      </c>
      <c r="J13">
        <v>1</v>
      </c>
      <c r="K13" s="2">
        <v>5.7000000000000002E-2</v>
      </c>
    </row>
    <row r="14" spans="1:11" x14ac:dyDescent="0.25">
      <c r="A14">
        <v>40469978</v>
      </c>
      <c r="B14" t="s">
        <v>82</v>
      </c>
      <c r="C14" t="s">
        <v>17</v>
      </c>
      <c r="D14" t="s">
        <v>47</v>
      </c>
      <c r="E14" t="s">
        <v>314</v>
      </c>
      <c r="F14" s="3">
        <v>5000</v>
      </c>
      <c r="G14">
        <v>9</v>
      </c>
      <c r="H14">
        <v>17.600000000000001</v>
      </c>
      <c r="I14">
        <v>27.9</v>
      </c>
      <c r="J14">
        <v>2</v>
      </c>
      <c r="K14" s="2">
        <v>3.4000000000000002E-2</v>
      </c>
    </row>
    <row r="15" spans="1:11" x14ac:dyDescent="0.25">
      <c r="A15">
        <v>40469980</v>
      </c>
      <c r="B15" t="s">
        <v>85</v>
      </c>
      <c r="C15" t="s">
        <v>17</v>
      </c>
      <c r="D15" t="s">
        <v>21</v>
      </c>
      <c r="E15" t="s">
        <v>313</v>
      </c>
      <c r="F15" s="3">
        <v>4800</v>
      </c>
      <c r="G15">
        <v>6.4</v>
      </c>
      <c r="H15">
        <v>13.6</v>
      </c>
      <c r="I15">
        <v>22.1</v>
      </c>
      <c r="J15">
        <v>-1.4</v>
      </c>
      <c r="K15" s="2">
        <v>2E-3</v>
      </c>
    </row>
    <row r="16" spans="1:11" x14ac:dyDescent="0.25">
      <c r="A16">
        <v>40469981</v>
      </c>
      <c r="B16" t="s">
        <v>89</v>
      </c>
      <c r="C16" t="s">
        <v>17</v>
      </c>
      <c r="D16" t="s">
        <v>57</v>
      </c>
      <c r="E16" t="s">
        <v>25</v>
      </c>
      <c r="F16" s="3">
        <v>4700</v>
      </c>
      <c r="G16">
        <v>8.8000000000000007</v>
      </c>
      <c r="H16">
        <v>16.899999999999999</v>
      </c>
      <c r="I16">
        <v>26.8</v>
      </c>
      <c r="J16">
        <v>2.2000000000000002</v>
      </c>
      <c r="K16" s="2">
        <v>8.5999999999999993E-2</v>
      </c>
    </row>
    <row r="17" spans="1:11" x14ac:dyDescent="0.25">
      <c r="A17">
        <v>40469982</v>
      </c>
      <c r="B17" t="s">
        <v>96</v>
      </c>
      <c r="C17" t="s">
        <v>17</v>
      </c>
      <c r="D17" t="s">
        <v>76</v>
      </c>
      <c r="E17" t="s">
        <v>311</v>
      </c>
      <c r="F17" s="3">
        <v>4600</v>
      </c>
      <c r="G17">
        <v>6.2</v>
      </c>
      <c r="H17">
        <v>13.1</v>
      </c>
      <c r="I17">
        <v>21.4</v>
      </c>
      <c r="J17">
        <v>-1.2</v>
      </c>
      <c r="K17" s="2">
        <v>3.0000000000000001E-3</v>
      </c>
    </row>
    <row r="18" spans="1:11" x14ac:dyDescent="0.25">
      <c r="A18">
        <v>40469983</v>
      </c>
      <c r="B18" t="s">
        <v>99</v>
      </c>
      <c r="C18" t="s">
        <v>17</v>
      </c>
      <c r="D18" t="s">
        <v>41</v>
      </c>
      <c r="E18" t="s">
        <v>19</v>
      </c>
      <c r="F18" s="3">
        <v>4500</v>
      </c>
      <c r="G18">
        <v>6.6</v>
      </c>
      <c r="H18">
        <v>13.9</v>
      </c>
      <c r="I18">
        <v>22.2</v>
      </c>
      <c r="J18">
        <v>-0.2</v>
      </c>
      <c r="K18" s="2">
        <v>8.9999999999999993E-3</v>
      </c>
    </row>
    <row r="19" spans="1:11" x14ac:dyDescent="0.25">
      <c r="A19">
        <v>40469985</v>
      </c>
      <c r="B19" t="s">
        <v>104</v>
      </c>
      <c r="C19" t="s">
        <v>17</v>
      </c>
      <c r="D19" t="s">
        <v>9</v>
      </c>
      <c r="E19" t="s">
        <v>21</v>
      </c>
      <c r="F19" s="3">
        <v>4400</v>
      </c>
      <c r="G19">
        <v>8</v>
      </c>
      <c r="H19">
        <v>15.7</v>
      </c>
      <c r="I19">
        <v>25.8</v>
      </c>
      <c r="J19">
        <v>1.9</v>
      </c>
      <c r="K19" s="2">
        <v>7.2999999999999995E-2</v>
      </c>
    </row>
    <row r="20" spans="1:11" x14ac:dyDescent="0.25">
      <c r="A20">
        <v>40469987</v>
      </c>
      <c r="B20" t="s">
        <v>110</v>
      </c>
      <c r="C20" t="s">
        <v>17</v>
      </c>
      <c r="D20" t="s">
        <v>26</v>
      </c>
      <c r="E20" t="s">
        <v>39</v>
      </c>
      <c r="F20" s="3">
        <v>4300</v>
      </c>
      <c r="G20">
        <v>8.4</v>
      </c>
      <c r="H20">
        <v>16.5</v>
      </c>
      <c r="I20">
        <v>26.4</v>
      </c>
      <c r="J20">
        <v>3</v>
      </c>
      <c r="K20" s="2">
        <v>4.1000000000000002E-2</v>
      </c>
    </row>
    <row r="21" spans="1:11" x14ac:dyDescent="0.25">
      <c r="A21">
        <v>40469988</v>
      </c>
      <c r="B21" t="s">
        <v>117</v>
      </c>
      <c r="C21" t="s">
        <v>17</v>
      </c>
      <c r="D21" t="s">
        <v>33</v>
      </c>
      <c r="E21" t="s">
        <v>316</v>
      </c>
      <c r="F21" s="3">
        <v>4200</v>
      </c>
      <c r="G21">
        <v>5.8</v>
      </c>
      <c r="H21">
        <v>12.5</v>
      </c>
      <c r="I21">
        <v>20.399999999999999</v>
      </c>
      <c r="J21">
        <v>-0.6</v>
      </c>
      <c r="K21" s="2">
        <v>2E-3</v>
      </c>
    </row>
    <row r="22" spans="1:11" x14ac:dyDescent="0.25">
      <c r="A22">
        <v>40470030</v>
      </c>
      <c r="B22" t="s">
        <v>4</v>
      </c>
      <c r="C22" t="s">
        <v>3</v>
      </c>
      <c r="D22" t="s">
        <v>5</v>
      </c>
      <c r="E22" t="s">
        <v>76</v>
      </c>
      <c r="F22" s="3">
        <v>9500</v>
      </c>
      <c r="G22">
        <v>12.1</v>
      </c>
      <c r="H22">
        <v>25.8</v>
      </c>
      <c r="I22">
        <v>41.7</v>
      </c>
      <c r="J22">
        <v>4</v>
      </c>
      <c r="K22" s="2">
        <v>0.22700000000000001</v>
      </c>
    </row>
    <row r="23" spans="1:11" x14ac:dyDescent="0.25">
      <c r="A23">
        <v>40470032</v>
      </c>
      <c r="B23" t="s">
        <v>6</v>
      </c>
      <c r="C23" t="s">
        <v>3</v>
      </c>
      <c r="D23" t="s">
        <v>7</v>
      </c>
      <c r="E23" t="s">
        <v>318</v>
      </c>
      <c r="F23" s="3">
        <v>9000</v>
      </c>
      <c r="G23">
        <v>11.4</v>
      </c>
      <c r="H23">
        <v>23.3</v>
      </c>
      <c r="I23">
        <v>37.5</v>
      </c>
      <c r="J23">
        <v>2.5</v>
      </c>
      <c r="K23" s="2">
        <v>0.16600000000000001</v>
      </c>
    </row>
    <row r="24" spans="1:11" x14ac:dyDescent="0.25">
      <c r="A24">
        <v>40470034</v>
      </c>
      <c r="B24" t="s">
        <v>8</v>
      </c>
      <c r="C24" t="s">
        <v>3</v>
      </c>
      <c r="D24" t="s">
        <v>9</v>
      </c>
      <c r="E24" t="s">
        <v>21</v>
      </c>
      <c r="F24" s="3">
        <v>8800</v>
      </c>
      <c r="G24">
        <v>12.7</v>
      </c>
      <c r="H24">
        <v>25.7</v>
      </c>
      <c r="I24">
        <v>41.7</v>
      </c>
      <c r="J24">
        <v>5.3</v>
      </c>
      <c r="K24" s="2">
        <v>0.29099999999999998</v>
      </c>
    </row>
    <row r="25" spans="1:11" x14ac:dyDescent="0.25">
      <c r="A25">
        <v>40470036</v>
      </c>
      <c r="B25" t="s">
        <v>15</v>
      </c>
      <c r="C25" t="s">
        <v>3</v>
      </c>
      <c r="D25" t="s">
        <v>16</v>
      </c>
      <c r="E25" t="s">
        <v>31</v>
      </c>
      <c r="F25" s="3">
        <v>7600</v>
      </c>
      <c r="G25">
        <v>9.4</v>
      </c>
      <c r="H25">
        <v>20.6</v>
      </c>
      <c r="I25">
        <v>34.9</v>
      </c>
      <c r="J25">
        <v>2.5</v>
      </c>
      <c r="K25" s="2">
        <v>0.17699999999999999</v>
      </c>
    </row>
    <row r="26" spans="1:11" x14ac:dyDescent="0.25">
      <c r="A26">
        <v>40470038</v>
      </c>
      <c r="B26" t="s">
        <v>20</v>
      </c>
      <c r="C26" t="s">
        <v>3</v>
      </c>
      <c r="D26" t="s">
        <v>21</v>
      </c>
      <c r="E26" t="s">
        <v>313</v>
      </c>
      <c r="F26" s="3">
        <v>7300</v>
      </c>
      <c r="G26">
        <v>9</v>
      </c>
      <c r="H26">
        <v>19.7</v>
      </c>
      <c r="I26">
        <v>32.4</v>
      </c>
      <c r="J26">
        <v>2.2999999999999998</v>
      </c>
      <c r="K26" s="2">
        <v>0.187</v>
      </c>
    </row>
    <row r="27" spans="1:11" x14ac:dyDescent="0.25">
      <c r="A27">
        <v>40470040</v>
      </c>
      <c r="B27" t="s">
        <v>27</v>
      </c>
      <c r="C27" t="s">
        <v>3</v>
      </c>
      <c r="D27" t="s">
        <v>14</v>
      </c>
      <c r="E27" t="s">
        <v>315</v>
      </c>
      <c r="F27" s="3">
        <v>6800</v>
      </c>
      <c r="G27">
        <v>7.3</v>
      </c>
      <c r="H27">
        <v>17.5</v>
      </c>
      <c r="I27">
        <v>30.4</v>
      </c>
      <c r="J27">
        <v>1</v>
      </c>
      <c r="K27" s="2">
        <v>9.6000000000000002E-2</v>
      </c>
    </row>
    <row r="28" spans="1:11" x14ac:dyDescent="0.25">
      <c r="A28">
        <v>40470044</v>
      </c>
      <c r="B28" t="s">
        <v>28</v>
      </c>
      <c r="C28" t="s">
        <v>3</v>
      </c>
      <c r="D28" t="s">
        <v>19</v>
      </c>
      <c r="E28" t="s">
        <v>320</v>
      </c>
      <c r="F28" s="3">
        <v>6700</v>
      </c>
      <c r="G28">
        <v>7.4</v>
      </c>
      <c r="H28">
        <v>18.3</v>
      </c>
      <c r="I28">
        <v>32.1</v>
      </c>
      <c r="J28">
        <v>2.1</v>
      </c>
      <c r="K28" s="2">
        <v>0.11799999999999999</v>
      </c>
    </row>
    <row r="29" spans="1:11" x14ac:dyDescent="0.25">
      <c r="A29">
        <v>40470046</v>
      </c>
      <c r="B29" t="s">
        <v>30</v>
      </c>
      <c r="C29" t="s">
        <v>3</v>
      </c>
      <c r="D29" t="s">
        <v>31</v>
      </c>
      <c r="E29" t="s">
        <v>312</v>
      </c>
      <c r="F29" s="3">
        <v>6600</v>
      </c>
      <c r="G29">
        <v>5.3</v>
      </c>
      <c r="H29">
        <v>13.5</v>
      </c>
      <c r="I29">
        <v>24.3</v>
      </c>
      <c r="J29">
        <v>-2.6</v>
      </c>
      <c r="K29" s="2">
        <v>4.1000000000000002E-2</v>
      </c>
    </row>
    <row r="30" spans="1:11" x14ac:dyDescent="0.25">
      <c r="A30">
        <v>40470048</v>
      </c>
      <c r="B30" t="s">
        <v>32</v>
      </c>
      <c r="C30" t="s">
        <v>3</v>
      </c>
      <c r="D30" t="s">
        <v>33</v>
      </c>
      <c r="E30" t="s">
        <v>316</v>
      </c>
      <c r="F30" s="3">
        <v>6500</v>
      </c>
      <c r="G30">
        <v>5.5</v>
      </c>
      <c r="H30">
        <v>14.3</v>
      </c>
      <c r="I30">
        <v>25.8</v>
      </c>
      <c r="J30">
        <v>-1.6</v>
      </c>
      <c r="K30" s="2">
        <v>4.7E-2</v>
      </c>
    </row>
    <row r="31" spans="1:11" x14ac:dyDescent="0.25">
      <c r="A31">
        <v>40470050</v>
      </c>
      <c r="B31" t="s">
        <v>37</v>
      </c>
      <c r="C31" t="s">
        <v>3</v>
      </c>
      <c r="D31" t="s">
        <v>25</v>
      </c>
      <c r="E31" t="s">
        <v>317</v>
      </c>
      <c r="F31" s="3">
        <v>6400</v>
      </c>
      <c r="G31">
        <v>8.5</v>
      </c>
      <c r="H31">
        <v>19.2</v>
      </c>
      <c r="I31">
        <v>33</v>
      </c>
      <c r="J31">
        <v>3.5</v>
      </c>
      <c r="K31" s="2">
        <v>0.23799999999999999</v>
      </c>
    </row>
    <row r="32" spans="1:11" x14ac:dyDescent="0.25">
      <c r="A32">
        <v>40470052</v>
      </c>
      <c r="B32" t="s">
        <v>40</v>
      </c>
      <c r="C32" t="s">
        <v>3</v>
      </c>
      <c r="D32" t="s">
        <v>41</v>
      </c>
      <c r="E32" t="s">
        <v>19</v>
      </c>
      <c r="F32" s="3">
        <v>6300</v>
      </c>
      <c r="G32">
        <v>4.4000000000000004</v>
      </c>
      <c r="H32">
        <v>12.3</v>
      </c>
      <c r="I32">
        <v>22.8</v>
      </c>
      <c r="J32">
        <v>-3.2</v>
      </c>
      <c r="K32" s="2">
        <v>8.0000000000000002E-3</v>
      </c>
    </row>
    <row r="33" spans="1:11" x14ac:dyDescent="0.25">
      <c r="A33">
        <v>40470054</v>
      </c>
      <c r="B33" t="s">
        <v>46</v>
      </c>
      <c r="C33" t="s">
        <v>3</v>
      </c>
      <c r="D33" t="s">
        <v>47</v>
      </c>
      <c r="E33" t="s">
        <v>314</v>
      </c>
      <c r="F33" s="3">
        <v>6100</v>
      </c>
      <c r="G33">
        <v>7</v>
      </c>
      <c r="H33">
        <v>16.5</v>
      </c>
      <c r="I33">
        <v>28.7</v>
      </c>
      <c r="J33">
        <v>1.4</v>
      </c>
      <c r="K33" s="2">
        <v>0.185</v>
      </c>
    </row>
    <row r="34" spans="1:11" x14ac:dyDescent="0.25">
      <c r="A34">
        <v>40470056</v>
      </c>
      <c r="B34" t="s">
        <v>49</v>
      </c>
      <c r="C34" t="s">
        <v>3</v>
      </c>
      <c r="D34" t="s">
        <v>26</v>
      </c>
      <c r="E34" t="s">
        <v>39</v>
      </c>
      <c r="F34" s="3">
        <v>6000</v>
      </c>
      <c r="G34">
        <v>6.3</v>
      </c>
      <c r="H34">
        <v>16.8</v>
      </c>
      <c r="I34">
        <v>30</v>
      </c>
      <c r="J34">
        <v>1.9</v>
      </c>
      <c r="K34" s="2">
        <v>0.23400000000000001</v>
      </c>
    </row>
    <row r="35" spans="1:11" x14ac:dyDescent="0.25">
      <c r="A35">
        <v>40470058</v>
      </c>
      <c r="B35" t="s">
        <v>53</v>
      </c>
      <c r="C35" t="s">
        <v>3</v>
      </c>
      <c r="D35" t="s">
        <v>39</v>
      </c>
      <c r="E35" t="s">
        <v>319</v>
      </c>
      <c r="F35" s="3">
        <v>5900</v>
      </c>
      <c r="G35">
        <v>5.0999999999999996</v>
      </c>
      <c r="H35">
        <v>13.7</v>
      </c>
      <c r="I35">
        <v>24.8</v>
      </c>
      <c r="J35">
        <v>-1</v>
      </c>
      <c r="K35" s="2">
        <v>4.4999999999999998E-2</v>
      </c>
    </row>
    <row r="36" spans="1:11" x14ac:dyDescent="0.25">
      <c r="A36">
        <v>40470060</v>
      </c>
      <c r="B36" t="s">
        <v>58</v>
      </c>
      <c r="C36" t="s">
        <v>3</v>
      </c>
      <c r="D36" t="s">
        <v>45</v>
      </c>
      <c r="E36" t="s">
        <v>14</v>
      </c>
      <c r="F36" s="3">
        <v>5800</v>
      </c>
      <c r="G36">
        <v>4.3</v>
      </c>
      <c r="H36">
        <v>12.9</v>
      </c>
      <c r="I36">
        <v>24.8</v>
      </c>
      <c r="J36">
        <v>-1.6</v>
      </c>
      <c r="K36" s="2">
        <v>6.3E-2</v>
      </c>
    </row>
    <row r="37" spans="1:11" x14ac:dyDescent="0.25">
      <c r="A37">
        <v>40470062</v>
      </c>
      <c r="B37" t="s">
        <v>61</v>
      </c>
      <c r="C37" t="s">
        <v>3</v>
      </c>
      <c r="D37" t="s">
        <v>57</v>
      </c>
      <c r="E37" t="s">
        <v>25</v>
      </c>
      <c r="F37" s="3">
        <v>5700</v>
      </c>
      <c r="G37">
        <v>6.1</v>
      </c>
      <c r="H37">
        <v>14.7</v>
      </c>
      <c r="I37">
        <v>25.9</v>
      </c>
      <c r="J37">
        <v>0.4</v>
      </c>
      <c r="K37" s="2">
        <v>8.2000000000000003E-2</v>
      </c>
    </row>
    <row r="38" spans="1:11" x14ac:dyDescent="0.25">
      <c r="A38">
        <v>40470064</v>
      </c>
      <c r="B38" t="s">
        <v>65</v>
      </c>
      <c r="C38" t="s">
        <v>3</v>
      </c>
      <c r="D38" t="s">
        <v>43</v>
      </c>
      <c r="E38" t="s">
        <v>33</v>
      </c>
      <c r="F38" s="3">
        <v>5500</v>
      </c>
      <c r="G38">
        <v>4.2</v>
      </c>
      <c r="H38">
        <v>11.8</v>
      </c>
      <c r="I38">
        <v>22.1</v>
      </c>
      <c r="J38">
        <v>-2.1</v>
      </c>
      <c r="K38" s="2">
        <v>6.6000000000000003E-2</v>
      </c>
    </row>
    <row r="39" spans="1:11" x14ac:dyDescent="0.25">
      <c r="A39">
        <v>40470066</v>
      </c>
      <c r="B39" t="s">
        <v>70</v>
      </c>
      <c r="C39" t="s">
        <v>3</v>
      </c>
      <c r="D39" t="s">
        <v>12</v>
      </c>
      <c r="E39" t="s">
        <v>47</v>
      </c>
      <c r="F39" s="3">
        <v>5400</v>
      </c>
      <c r="G39">
        <v>5.3</v>
      </c>
      <c r="H39">
        <v>13.8</v>
      </c>
      <c r="I39">
        <v>25.4</v>
      </c>
      <c r="J39">
        <v>0.1</v>
      </c>
      <c r="K39" s="2">
        <v>0.154</v>
      </c>
    </row>
    <row r="40" spans="1:11" x14ac:dyDescent="0.25">
      <c r="A40">
        <v>40470068</v>
      </c>
      <c r="B40" t="s">
        <v>72</v>
      </c>
      <c r="C40" t="s">
        <v>3</v>
      </c>
      <c r="D40" t="s">
        <v>41</v>
      </c>
      <c r="E40" t="s">
        <v>19</v>
      </c>
      <c r="F40" s="3">
        <v>5300</v>
      </c>
      <c r="G40">
        <v>3.8</v>
      </c>
      <c r="H40">
        <v>10.9</v>
      </c>
      <c r="I40">
        <v>20.5</v>
      </c>
      <c r="J40">
        <v>-2.6</v>
      </c>
      <c r="K40" s="2">
        <v>7.0000000000000001E-3</v>
      </c>
    </row>
    <row r="41" spans="1:11" x14ac:dyDescent="0.25">
      <c r="A41">
        <v>40470070</v>
      </c>
      <c r="B41" t="s">
        <v>75</v>
      </c>
      <c r="C41" t="s">
        <v>3</v>
      </c>
      <c r="D41" t="s">
        <v>76</v>
      </c>
      <c r="E41" t="s">
        <v>311</v>
      </c>
      <c r="F41" s="3">
        <v>5200</v>
      </c>
      <c r="G41">
        <v>4.0999999999999996</v>
      </c>
      <c r="H41">
        <v>11.3</v>
      </c>
      <c r="I41">
        <v>20.399999999999999</v>
      </c>
      <c r="J41">
        <v>-2</v>
      </c>
      <c r="K41" s="2">
        <v>1.0999999999999999E-2</v>
      </c>
    </row>
    <row r="42" spans="1:11" x14ac:dyDescent="0.25">
      <c r="A42">
        <v>40470072</v>
      </c>
      <c r="B42" t="s">
        <v>79</v>
      </c>
      <c r="C42" t="s">
        <v>3</v>
      </c>
      <c r="D42" t="s">
        <v>22</v>
      </c>
      <c r="E42" t="s">
        <v>7</v>
      </c>
      <c r="F42" s="3">
        <v>5100</v>
      </c>
      <c r="G42">
        <v>4</v>
      </c>
      <c r="H42">
        <v>11.3</v>
      </c>
      <c r="I42">
        <v>21.1</v>
      </c>
      <c r="J42">
        <v>-1.8</v>
      </c>
      <c r="K42" s="2">
        <v>0.03</v>
      </c>
    </row>
    <row r="43" spans="1:11" x14ac:dyDescent="0.25">
      <c r="A43">
        <v>40470074</v>
      </c>
      <c r="B43" t="s">
        <v>83</v>
      </c>
      <c r="C43" t="s">
        <v>3</v>
      </c>
      <c r="D43" t="s">
        <v>22</v>
      </c>
      <c r="E43" t="s">
        <v>7</v>
      </c>
      <c r="F43" s="3">
        <v>5000</v>
      </c>
      <c r="G43">
        <v>3</v>
      </c>
      <c r="H43">
        <v>9.4</v>
      </c>
      <c r="I43">
        <v>18.2</v>
      </c>
      <c r="J43">
        <v>-3.5</v>
      </c>
      <c r="K43" s="2">
        <v>2E-3</v>
      </c>
    </row>
    <row r="44" spans="1:11" x14ac:dyDescent="0.25">
      <c r="A44">
        <v>40470078</v>
      </c>
      <c r="B44" t="s">
        <v>84</v>
      </c>
      <c r="C44" t="s">
        <v>3</v>
      </c>
      <c r="D44" t="s">
        <v>39</v>
      </c>
      <c r="E44" t="s">
        <v>319</v>
      </c>
      <c r="F44" s="3">
        <v>4900</v>
      </c>
      <c r="G44">
        <v>1.7</v>
      </c>
      <c r="H44">
        <v>6.8</v>
      </c>
      <c r="I44">
        <v>14.5</v>
      </c>
      <c r="J44">
        <v>-5.9</v>
      </c>
      <c r="K44" s="2">
        <v>2E-3</v>
      </c>
    </row>
    <row r="45" spans="1:11" x14ac:dyDescent="0.25">
      <c r="A45">
        <v>40470080</v>
      </c>
      <c r="B45" t="s">
        <v>86</v>
      </c>
      <c r="C45" t="s">
        <v>3</v>
      </c>
      <c r="D45" t="s">
        <v>9</v>
      </c>
      <c r="E45" t="s">
        <v>21</v>
      </c>
      <c r="F45" s="3">
        <v>4800</v>
      </c>
      <c r="G45">
        <v>2.1</v>
      </c>
      <c r="H45">
        <v>8.4</v>
      </c>
      <c r="I45">
        <v>17.7</v>
      </c>
      <c r="J45">
        <v>-4.0999999999999996</v>
      </c>
      <c r="K45" s="2">
        <v>6.0000000000000001E-3</v>
      </c>
    </row>
    <row r="46" spans="1:11" x14ac:dyDescent="0.25">
      <c r="A46">
        <v>40470082</v>
      </c>
      <c r="B46" t="s">
        <v>88</v>
      </c>
      <c r="C46" t="s">
        <v>3</v>
      </c>
      <c r="D46" t="s">
        <v>45</v>
      </c>
      <c r="E46" t="s">
        <v>14</v>
      </c>
      <c r="F46" s="3">
        <v>4800</v>
      </c>
      <c r="G46">
        <v>2</v>
      </c>
      <c r="H46">
        <v>8</v>
      </c>
      <c r="I46">
        <v>16.8</v>
      </c>
      <c r="J46">
        <v>-4.5</v>
      </c>
      <c r="K46" s="2">
        <v>2E-3</v>
      </c>
    </row>
    <row r="47" spans="1:11" x14ac:dyDescent="0.25">
      <c r="A47">
        <v>40470084</v>
      </c>
      <c r="B47" t="s">
        <v>91</v>
      </c>
      <c r="C47" t="s">
        <v>3</v>
      </c>
      <c r="D47" t="s">
        <v>76</v>
      </c>
      <c r="E47" t="s">
        <v>311</v>
      </c>
      <c r="F47" s="3">
        <v>4700</v>
      </c>
      <c r="G47">
        <v>2.9</v>
      </c>
      <c r="H47">
        <v>9.1999999999999993</v>
      </c>
      <c r="I47">
        <v>17.3</v>
      </c>
      <c r="J47">
        <v>-3.1</v>
      </c>
      <c r="K47" s="2">
        <v>2E-3</v>
      </c>
    </row>
    <row r="48" spans="1:11" x14ac:dyDescent="0.25">
      <c r="A48">
        <v>40470088</v>
      </c>
      <c r="B48" t="s">
        <v>94</v>
      </c>
      <c r="C48" t="s">
        <v>3</v>
      </c>
      <c r="D48" t="s">
        <v>31</v>
      </c>
      <c r="E48" t="s">
        <v>312</v>
      </c>
      <c r="F48" s="3">
        <v>4600</v>
      </c>
      <c r="G48">
        <v>1.1000000000000001</v>
      </c>
      <c r="H48">
        <v>5.4</v>
      </c>
      <c r="I48">
        <v>11.8</v>
      </c>
      <c r="J48">
        <v>-6.8</v>
      </c>
      <c r="K48" s="2">
        <v>2E-3</v>
      </c>
    </row>
    <row r="49" spans="1:11" x14ac:dyDescent="0.25">
      <c r="A49">
        <v>40470090</v>
      </c>
      <c r="B49" t="s">
        <v>95</v>
      </c>
      <c r="C49" t="s">
        <v>3</v>
      </c>
      <c r="D49" t="s">
        <v>16</v>
      </c>
      <c r="E49" t="s">
        <v>31</v>
      </c>
      <c r="F49" s="3">
        <v>4600</v>
      </c>
      <c r="G49">
        <v>0</v>
      </c>
      <c r="H49">
        <v>2.1</v>
      </c>
      <c r="I49">
        <v>6.6</v>
      </c>
      <c r="J49">
        <v>-10</v>
      </c>
      <c r="K49" s="2">
        <v>0</v>
      </c>
    </row>
    <row r="50" spans="1:11" x14ac:dyDescent="0.25">
      <c r="A50">
        <v>40470092</v>
      </c>
      <c r="B50" t="s">
        <v>102</v>
      </c>
      <c r="C50" t="s">
        <v>3</v>
      </c>
      <c r="D50" t="s">
        <v>43</v>
      </c>
      <c r="E50" t="s">
        <v>33</v>
      </c>
      <c r="F50" s="3">
        <v>4500</v>
      </c>
      <c r="G50">
        <v>1.7</v>
      </c>
      <c r="H50">
        <v>6.9</v>
      </c>
      <c r="I50">
        <v>14.7</v>
      </c>
      <c r="J50">
        <v>-5</v>
      </c>
      <c r="K50" s="2">
        <v>2E-3</v>
      </c>
    </row>
    <row r="51" spans="1:11" x14ac:dyDescent="0.25">
      <c r="A51">
        <v>40470094</v>
      </c>
      <c r="B51" t="s">
        <v>100</v>
      </c>
      <c r="C51" t="s">
        <v>3</v>
      </c>
      <c r="D51" t="s">
        <v>7</v>
      </c>
      <c r="E51" t="s">
        <v>318</v>
      </c>
      <c r="F51" s="3">
        <v>4500</v>
      </c>
      <c r="G51">
        <v>0.5</v>
      </c>
      <c r="H51">
        <v>3.8</v>
      </c>
      <c r="I51">
        <v>9.3000000000000007</v>
      </c>
      <c r="J51">
        <v>-8.1</v>
      </c>
      <c r="K51" s="2">
        <v>0</v>
      </c>
    </row>
    <row r="52" spans="1:11" x14ac:dyDescent="0.25">
      <c r="A52">
        <v>40470096</v>
      </c>
      <c r="B52" t="s">
        <v>98</v>
      </c>
      <c r="C52" t="s">
        <v>3</v>
      </c>
      <c r="D52" t="s">
        <v>26</v>
      </c>
      <c r="E52" t="s">
        <v>39</v>
      </c>
      <c r="F52" s="3">
        <v>4500</v>
      </c>
      <c r="G52">
        <v>1.5</v>
      </c>
      <c r="H52">
        <v>6.3</v>
      </c>
      <c r="I52">
        <v>13.6</v>
      </c>
      <c r="J52">
        <v>-5.6</v>
      </c>
      <c r="K52" s="2">
        <v>2E-3</v>
      </c>
    </row>
    <row r="53" spans="1:11" x14ac:dyDescent="0.25">
      <c r="A53">
        <v>40470098</v>
      </c>
      <c r="B53" t="s">
        <v>106</v>
      </c>
      <c r="C53" t="s">
        <v>3</v>
      </c>
      <c r="D53" t="s">
        <v>12</v>
      </c>
      <c r="E53" t="s">
        <v>47</v>
      </c>
      <c r="F53" s="3">
        <v>4400</v>
      </c>
      <c r="G53">
        <v>1.9</v>
      </c>
      <c r="H53">
        <v>7.4</v>
      </c>
      <c r="I53">
        <v>15.5</v>
      </c>
      <c r="J53">
        <v>-4.3</v>
      </c>
      <c r="K53" s="2">
        <v>2E-3</v>
      </c>
    </row>
    <row r="54" spans="1:11" x14ac:dyDescent="0.25">
      <c r="A54">
        <v>40470100</v>
      </c>
      <c r="B54" t="s">
        <v>108</v>
      </c>
      <c r="C54" t="s">
        <v>3</v>
      </c>
      <c r="D54" t="s">
        <v>25</v>
      </c>
      <c r="E54" t="s">
        <v>317</v>
      </c>
      <c r="F54" s="3">
        <v>4400</v>
      </c>
      <c r="G54">
        <v>0.7</v>
      </c>
      <c r="H54">
        <v>4.5999999999999996</v>
      </c>
      <c r="I54">
        <v>11</v>
      </c>
      <c r="J54">
        <v>-7.1</v>
      </c>
      <c r="K54" s="2">
        <v>0</v>
      </c>
    </row>
    <row r="55" spans="1:11" x14ac:dyDescent="0.25">
      <c r="A55">
        <v>40470102</v>
      </c>
      <c r="B55" t="s">
        <v>109</v>
      </c>
      <c r="C55" t="s">
        <v>3</v>
      </c>
      <c r="D55" t="s">
        <v>21</v>
      </c>
      <c r="E55" t="s">
        <v>313</v>
      </c>
      <c r="F55" s="3">
        <v>4300</v>
      </c>
      <c r="G55">
        <v>0.5</v>
      </c>
      <c r="H55">
        <v>4</v>
      </c>
      <c r="I55">
        <v>9.5</v>
      </c>
      <c r="J55">
        <v>-7.6</v>
      </c>
      <c r="K55" s="2">
        <v>0</v>
      </c>
    </row>
    <row r="56" spans="1:11" x14ac:dyDescent="0.25">
      <c r="A56">
        <v>40470104</v>
      </c>
      <c r="B56" t="s">
        <v>112</v>
      </c>
      <c r="C56" t="s">
        <v>3</v>
      </c>
      <c r="D56" t="s">
        <v>33</v>
      </c>
      <c r="E56" t="s">
        <v>316</v>
      </c>
      <c r="F56" s="3">
        <v>4300</v>
      </c>
      <c r="G56">
        <v>1</v>
      </c>
      <c r="H56">
        <v>5.2</v>
      </c>
      <c r="I56">
        <v>11</v>
      </c>
      <c r="J56">
        <v>-6.4</v>
      </c>
      <c r="K56" s="2">
        <v>2E-3</v>
      </c>
    </row>
    <row r="57" spans="1:11" x14ac:dyDescent="0.25">
      <c r="A57">
        <v>40470106</v>
      </c>
      <c r="B57" t="s">
        <v>116</v>
      </c>
      <c r="C57" t="s">
        <v>3</v>
      </c>
      <c r="D57" t="s">
        <v>19</v>
      </c>
      <c r="E57" t="s">
        <v>320</v>
      </c>
      <c r="F57" s="3">
        <v>4200</v>
      </c>
      <c r="G57">
        <v>0</v>
      </c>
      <c r="H57">
        <v>2.1</v>
      </c>
      <c r="I57">
        <v>6.6</v>
      </c>
      <c r="J57">
        <v>-9.1999999999999993</v>
      </c>
      <c r="K57" s="2">
        <v>0</v>
      </c>
    </row>
    <row r="58" spans="1:11" x14ac:dyDescent="0.25">
      <c r="A58">
        <v>40470108</v>
      </c>
      <c r="B58" t="s">
        <v>119</v>
      </c>
      <c r="C58" t="s">
        <v>3</v>
      </c>
      <c r="D58" t="s">
        <v>57</v>
      </c>
      <c r="E58" t="s">
        <v>25</v>
      </c>
      <c r="F58" s="3">
        <v>4200</v>
      </c>
      <c r="G58">
        <v>0</v>
      </c>
      <c r="H58">
        <v>2.2000000000000002</v>
      </c>
      <c r="I58">
        <v>6.6</v>
      </c>
      <c r="J58">
        <v>-9.1999999999999993</v>
      </c>
      <c r="K58" s="2">
        <v>1E-3</v>
      </c>
    </row>
    <row r="59" spans="1:11" x14ac:dyDescent="0.25">
      <c r="A59">
        <v>40470110</v>
      </c>
      <c r="B59" t="s">
        <v>122</v>
      </c>
      <c r="C59" t="s">
        <v>3</v>
      </c>
      <c r="D59" t="s">
        <v>47</v>
      </c>
      <c r="E59" t="s">
        <v>314</v>
      </c>
      <c r="F59" s="3">
        <v>4100</v>
      </c>
      <c r="G59">
        <v>1.8</v>
      </c>
      <c r="H59">
        <v>6.9</v>
      </c>
      <c r="I59">
        <v>14.2</v>
      </c>
      <c r="J59">
        <v>-4.2</v>
      </c>
      <c r="K59" s="2">
        <v>2E-3</v>
      </c>
    </row>
    <row r="60" spans="1:11" x14ac:dyDescent="0.25">
      <c r="A60">
        <v>40470114</v>
      </c>
      <c r="B60" t="s">
        <v>125</v>
      </c>
      <c r="C60" t="s">
        <v>3</v>
      </c>
      <c r="D60" t="s">
        <v>9</v>
      </c>
      <c r="E60" t="s">
        <v>21</v>
      </c>
      <c r="F60" s="3">
        <v>4000</v>
      </c>
      <c r="G60">
        <v>0</v>
      </c>
      <c r="H60">
        <v>0.2</v>
      </c>
      <c r="I60">
        <v>0.9</v>
      </c>
      <c r="J60">
        <v>-10.7</v>
      </c>
      <c r="K60" s="2">
        <v>0</v>
      </c>
    </row>
    <row r="61" spans="1:11" x14ac:dyDescent="0.25">
      <c r="A61">
        <v>40470118</v>
      </c>
      <c r="B61" t="s">
        <v>131</v>
      </c>
      <c r="C61" t="s">
        <v>3</v>
      </c>
      <c r="D61" t="s">
        <v>19</v>
      </c>
      <c r="E61" t="s">
        <v>320</v>
      </c>
      <c r="F61" s="3">
        <v>4000</v>
      </c>
      <c r="G61">
        <v>0.3</v>
      </c>
      <c r="H61">
        <v>3.8</v>
      </c>
      <c r="I61">
        <v>9.9</v>
      </c>
      <c r="J61">
        <v>-7.1</v>
      </c>
      <c r="K61" s="2">
        <v>0</v>
      </c>
    </row>
    <row r="62" spans="1:11" x14ac:dyDescent="0.25">
      <c r="A62">
        <v>40470122</v>
      </c>
      <c r="B62" t="s">
        <v>132</v>
      </c>
      <c r="C62" t="s">
        <v>3</v>
      </c>
      <c r="D62" t="s">
        <v>19</v>
      </c>
      <c r="E62" t="s">
        <v>320</v>
      </c>
      <c r="F62" s="3">
        <v>4000</v>
      </c>
      <c r="G62">
        <v>0</v>
      </c>
      <c r="H62">
        <v>0.1</v>
      </c>
      <c r="I62">
        <v>0.6</v>
      </c>
      <c r="J62">
        <v>-10.8</v>
      </c>
      <c r="K62" s="2">
        <v>0</v>
      </c>
    </row>
    <row r="63" spans="1:11" x14ac:dyDescent="0.25">
      <c r="A63">
        <v>40470126</v>
      </c>
      <c r="B63" t="s">
        <v>137</v>
      </c>
      <c r="C63" t="s">
        <v>3</v>
      </c>
      <c r="D63" t="s">
        <v>22</v>
      </c>
      <c r="E63" t="s">
        <v>7</v>
      </c>
      <c r="F63" s="3">
        <v>4000</v>
      </c>
      <c r="G63">
        <v>0</v>
      </c>
      <c r="H63">
        <v>0.2</v>
      </c>
      <c r="I63">
        <v>0.9</v>
      </c>
      <c r="J63">
        <v>-10.8</v>
      </c>
      <c r="K63" s="2">
        <v>0</v>
      </c>
    </row>
    <row r="64" spans="1:11" x14ac:dyDescent="0.25">
      <c r="A64">
        <v>40470128</v>
      </c>
      <c r="B64" t="s">
        <v>138</v>
      </c>
      <c r="C64" t="s">
        <v>3</v>
      </c>
      <c r="D64" t="s">
        <v>22</v>
      </c>
      <c r="E64" t="s">
        <v>7</v>
      </c>
      <c r="F64" s="3">
        <v>4000</v>
      </c>
      <c r="G64">
        <v>0</v>
      </c>
      <c r="H64">
        <v>0.3</v>
      </c>
      <c r="I64">
        <v>1.4</v>
      </c>
      <c r="J64">
        <v>-10.6</v>
      </c>
      <c r="K64" s="2">
        <v>0</v>
      </c>
    </row>
    <row r="65" spans="1:11" x14ac:dyDescent="0.25">
      <c r="A65">
        <v>40470134</v>
      </c>
      <c r="B65" t="s">
        <v>128</v>
      </c>
      <c r="C65" t="s">
        <v>3</v>
      </c>
      <c r="D65" t="s">
        <v>39</v>
      </c>
      <c r="E65" t="s">
        <v>319</v>
      </c>
      <c r="F65" s="3">
        <v>4000</v>
      </c>
      <c r="G65">
        <v>0</v>
      </c>
      <c r="H65">
        <v>0.2</v>
      </c>
      <c r="I65">
        <v>1</v>
      </c>
      <c r="J65">
        <v>-10.8</v>
      </c>
      <c r="K65" s="2">
        <v>0</v>
      </c>
    </row>
    <row r="66" spans="1:11" x14ac:dyDescent="0.25">
      <c r="A66">
        <v>40470140</v>
      </c>
      <c r="B66" t="s">
        <v>135</v>
      </c>
      <c r="C66" t="s">
        <v>3</v>
      </c>
      <c r="D66" t="s">
        <v>12</v>
      </c>
      <c r="E66" t="s">
        <v>47</v>
      </c>
      <c r="F66" s="3">
        <v>4000</v>
      </c>
      <c r="G66">
        <v>0</v>
      </c>
      <c r="H66">
        <v>0.1</v>
      </c>
      <c r="I66">
        <v>0.7</v>
      </c>
      <c r="J66">
        <v>-10.8</v>
      </c>
      <c r="K66" s="2">
        <v>0</v>
      </c>
    </row>
    <row r="67" spans="1:11" x14ac:dyDescent="0.25">
      <c r="A67">
        <v>40470146</v>
      </c>
      <c r="B67" t="s">
        <v>141</v>
      </c>
      <c r="C67" t="s">
        <v>3</v>
      </c>
      <c r="D67" t="s">
        <v>33</v>
      </c>
      <c r="E67" t="s">
        <v>316</v>
      </c>
      <c r="F67" s="3">
        <v>4000</v>
      </c>
      <c r="G67">
        <v>0.2</v>
      </c>
      <c r="H67">
        <v>3.1</v>
      </c>
      <c r="I67">
        <v>7.6</v>
      </c>
      <c r="J67">
        <v>-7.8</v>
      </c>
      <c r="K67" s="2">
        <v>0</v>
      </c>
    </row>
    <row r="68" spans="1:11" x14ac:dyDescent="0.25">
      <c r="A68">
        <v>40470152</v>
      </c>
      <c r="B68" t="s">
        <v>147</v>
      </c>
      <c r="C68" t="s">
        <v>3</v>
      </c>
      <c r="D68" t="s">
        <v>14</v>
      </c>
      <c r="E68" t="s">
        <v>315</v>
      </c>
      <c r="F68" s="3">
        <v>4000</v>
      </c>
      <c r="G68">
        <v>0.2</v>
      </c>
      <c r="H68">
        <v>3</v>
      </c>
      <c r="I68">
        <v>8</v>
      </c>
      <c r="J68">
        <v>-8</v>
      </c>
      <c r="K68" s="2">
        <v>0</v>
      </c>
    </row>
    <row r="69" spans="1:11" x14ac:dyDescent="0.25">
      <c r="A69">
        <v>40470154</v>
      </c>
      <c r="B69" t="s">
        <v>148</v>
      </c>
      <c r="C69" t="s">
        <v>3</v>
      </c>
      <c r="D69" t="s">
        <v>14</v>
      </c>
      <c r="E69" t="s">
        <v>315</v>
      </c>
      <c r="F69" s="3">
        <v>4000</v>
      </c>
      <c r="G69">
        <v>0</v>
      </c>
      <c r="H69">
        <v>0.1</v>
      </c>
      <c r="I69">
        <v>0.7</v>
      </c>
      <c r="J69">
        <v>-10.8</v>
      </c>
      <c r="K69" s="2">
        <v>0</v>
      </c>
    </row>
    <row r="70" spans="1:11" x14ac:dyDescent="0.25">
      <c r="A70">
        <v>40470160</v>
      </c>
      <c r="B70" t="s">
        <v>149</v>
      </c>
      <c r="C70" t="s">
        <v>3</v>
      </c>
      <c r="D70" t="s">
        <v>14</v>
      </c>
      <c r="E70" t="s">
        <v>315</v>
      </c>
      <c r="F70" s="3">
        <v>4000</v>
      </c>
      <c r="G70">
        <v>0</v>
      </c>
      <c r="H70">
        <v>0.9</v>
      </c>
      <c r="I70">
        <v>3.6</v>
      </c>
      <c r="J70">
        <v>-10</v>
      </c>
      <c r="K70" s="2">
        <v>0</v>
      </c>
    </row>
    <row r="71" spans="1:11" x14ac:dyDescent="0.25">
      <c r="A71">
        <v>40470164</v>
      </c>
      <c r="B71" t="s">
        <v>150</v>
      </c>
      <c r="C71" t="s">
        <v>3</v>
      </c>
      <c r="D71" t="s">
        <v>45</v>
      </c>
      <c r="E71" t="s">
        <v>14</v>
      </c>
      <c r="F71" s="3">
        <v>4000</v>
      </c>
      <c r="G71">
        <v>0</v>
      </c>
      <c r="H71">
        <v>2.2999999999999998</v>
      </c>
      <c r="I71">
        <v>6.8</v>
      </c>
      <c r="J71">
        <v>-8.6</v>
      </c>
      <c r="K71" s="2">
        <v>0</v>
      </c>
    </row>
    <row r="72" spans="1:11" x14ac:dyDescent="0.25">
      <c r="A72">
        <v>40470166</v>
      </c>
      <c r="B72" t="s">
        <v>151</v>
      </c>
      <c r="C72" t="s">
        <v>3</v>
      </c>
      <c r="D72" t="s">
        <v>45</v>
      </c>
      <c r="E72" t="s">
        <v>14</v>
      </c>
      <c r="F72" s="3">
        <v>4000</v>
      </c>
      <c r="G72">
        <v>0</v>
      </c>
      <c r="H72">
        <v>0.5</v>
      </c>
      <c r="I72">
        <v>2.2000000000000002</v>
      </c>
      <c r="J72">
        <v>-10.5</v>
      </c>
      <c r="K72" s="2">
        <v>0</v>
      </c>
    </row>
    <row r="73" spans="1:11" x14ac:dyDescent="0.25">
      <c r="A73">
        <v>40470172</v>
      </c>
      <c r="B73" t="s">
        <v>152</v>
      </c>
      <c r="C73" t="s">
        <v>3</v>
      </c>
      <c r="D73" t="s">
        <v>76</v>
      </c>
      <c r="E73" t="s">
        <v>311</v>
      </c>
      <c r="F73" s="3">
        <v>4000</v>
      </c>
      <c r="G73">
        <v>0</v>
      </c>
      <c r="H73">
        <v>0.2</v>
      </c>
      <c r="I73">
        <v>1</v>
      </c>
      <c r="J73">
        <v>-10.7</v>
      </c>
      <c r="K73" s="2">
        <v>0</v>
      </c>
    </row>
    <row r="74" spans="1:11" x14ac:dyDescent="0.25">
      <c r="A74">
        <v>40470178</v>
      </c>
      <c r="B74" t="s">
        <v>153</v>
      </c>
      <c r="C74" t="s">
        <v>3</v>
      </c>
      <c r="D74" t="s">
        <v>5</v>
      </c>
      <c r="E74" t="s">
        <v>76</v>
      </c>
      <c r="F74" s="3">
        <v>4000</v>
      </c>
      <c r="G74">
        <v>0</v>
      </c>
      <c r="H74">
        <v>1.3</v>
      </c>
      <c r="I74">
        <v>4.7</v>
      </c>
      <c r="J74">
        <v>-9.6</v>
      </c>
      <c r="K74" s="2">
        <v>0</v>
      </c>
    </row>
    <row r="75" spans="1:11" x14ac:dyDescent="0.25">
      <c r="A75">
        <v>40470182</v>
      </c>
      <c r="B75" t="s">
        <v>154</v>
      </c>
      <c r="C75" t="s">
        <v>3</v>
      </c>
      <c r="D75" t="s">
        <v>5</v>
      </c>
      <c r="E75" t="s">
        <v>76</v>
      </c>
      <c r="F75" s="3">
        <v>4000</v>
      </c>
      <c r="G75">
        <v>0.1</v>
      </c>
      <c r="H75">
        <v>3.2</v>
      </c>
      <c r="I75">
        <v>9</v>
      </c>
      <c r="J75">
        <v>-7.8</v>
      </c>
      <c r="K75" s="2">
        <v>0</v>
      </c>
    </row>
    <row r="76" spans="1:11" x14ac:dyDescent="0.25">
      <c r="A76">
        <v>40470188</v>
      </c>
      <c r="B76" t="s">
        <v>126</v>
      </c>
      <c r="C76" t="s">
        <v>3</v>
      </c>
      <c r="D76" t="s">
        <v>21</v>
      </c>
      <c r="E76" t="s">
        <v>313</v>
      </c>
      <c r="F76" s="3">
        <v>4000</v>
      </c>
      <c r="G76">
        <v>0</v>
      </c>
      <c r="H76">
        <v>1.5</v>
      </c>
      <c r="I76">
        <v>4.5</v>
      </c>
      <c r="J76">
        <v>-9.5</v>
      </c>
      <c r="K76" s="2">
        <v>0</v>
      </c>
    </row>
    <row r="77" spans="1:11" x14ac:dyDescent="0.25">
      <c r="A77">
        <v>40470192</v>
      </c>
      <c r="B77" t="s">
        <v>127</v>
      </c>
      <c r="C77" t="s">
        <v>3</v>
      </c>
      <c r="D77" t="s">
        <v>21</v>
      </c>
      <c r="E77" t="s">
        <v>313</v>
      </c>
      <c r="F77" s="3">
        <v>4000</v>
      </c>
      <c r="G77">
        <v>0</v>
      </c>
      <c r="H77">
        <v>2.1</v>
      </c>
      <c r="I77">
        <v>5.8</v>
      </c>
      <c r="J77">
        <v>-8.9</v>
      </c>
      <c r="K77" s="2">
        <v>0</v>
      </c>
    </row>
    <row r="78" spans="1:11" x14ac:dyDescent="0.25">
      <c r="A78">
        <v>40470198</v>
      </c>
      <c r="B78" t="s">
        <v>142</v>
      </c>
      <c r="C78" t="s">
        <v>3</v>
      </c>
      <c r="D78" t="s">
        <v>43</v>
      </c>
      <c r="E78" t="s">
        <v>33</v>
      </c>
      <c r="F78" s="3">
        <v>4000</v>
      </c>
      <c r="G78">
        <v>0</v>
      </c>
      <c r="H78">
        <v>0.5</v>
      </c>
      <c r="I78">
        <v>2.1</v>
      </c>
      <c r="J78">
        <v>-10.4</v>
      </c>
      <c r="K78" s="2">
        <v>0</v>
      </c>
    </row>
    <row r="79" spans="1:11" x14ac:dyDescent="0.25">
      <c r="A79">
        <v>40470210</v>
      </c>
      <c r="B79" t="s">
        <v>143</v>
      </c>
      <c r="C79" t="s">
        <v>3</v>
      </c>
      <c r="D79" t="s">
        <v>43</v>
      </c>
      <c r="E79" t="s">
        <v>33</v>
      </c>
      <c r="F79" s="3">
        <v>4000</v>
      </c>
      <c r="G79">
        <v>0</v>
      </c>
      <c r="H79">
        <v>0.1</v>
      </c>
      <c r="I79">
        <v>0.6</v>
      </c>
      <c r="J79">
        <v>-10.8</v>
      </c>
      <c r="K79" s="2">
        <v>0</v>
      </c>
    </row>
    <row r="80" spans="1:11" x14ac:dyDescent="0.25">
      <c r="A80">
        <v>40470214</v>
      </c>
      <c r="B80" t="s">
        <v>144</v>
      </c>
      <c r="C80" t="s">
        <v>3</v>
      </c>
      <c r="D80" t="s">
        <v>31</v>
      </c>
      <c r="E80" t="s">
        <v>312</v>
      </c>
      <c r="F80" s="3">
        <v>4000</v>
      </c>
      <c r="G80">
        <v>0</v>
      </c>
      <c r="H80">
        <v>1</v>
      </c>
      <c r="I80">
        <v>3.4</v>
      </c>
      <c r="J80">
        <v>-10</v>
      </c>
      <c r="K80" s="2">
        <v>0</v>
      </c>
    </row>
    <row r="81" spans="1:11" x14ac:dyDescent="0.25">
      <c r="A81">
        <v>40470222</v>
      </c>
      <c r="B81" t="s">
        <v>424</v>
      </c>
      <c r="C81" t="s">
        <v>3</v>
      </c>
      <c r="D81" t="s">
        <v>47</v>
      </c>
      <c r="E81" t="s">
        <v>314</v>
      </c>
      <c r="F81" s="3">
        <v>4000</v>
      </c>
      <c r="G81">
        <v>0</v>
      </c>
      <c r="H81">
        <v>0.1</v>
      </c>
      <c r="I81">
        <v>0.4</v>
      </c>
      <c r="J81">
        <v>-10.8</v>
      </c>
      <c r="K81" s="2">
        <v>0</v>
      </c>
    </row>
    <row r="82" spans="1:11" x14ac:dyDescent="0.25">
      <c r="A82">
        <v>40470226</v>
      </c>
      <c r="B82" t="s">
        <v>136</v>
      </c>
      <c r="C82" t="s">
        <v>3</v>
      </c>
      <c r="D82" t="s">
        <v>47</v>
      </c>
      <c r="E82" t="s">
        <v>314</v>
      </c>
      <c r="F82" s="3">
        <v>4000</v>
      </c>
      <c r="G82">
        <v>0</v>
      </c>
      <c r="H82">
        <v>0.2</v>
      </c>
      <c r="I82">
        <v>1</v>
      </c>
      <c r="J82">
        <v>-10.7</v>
      </c>
      <c r="K82" s="2">
        <v>0</v>
      </c>
    </row>
    <row r="83" spans="1:11" x14ac:dyDescent="0.25">
      <c r="A83">
        <v>40470228</v>
      </c>
      <c r="B83" t="s">
        <v>145</v>
      </c>
      <c r="C83" t="s">
        <v>3</v>
      </c>
      <c r="D83" t="s">
        <v>16</v>
      </c>
      <c r="E83" t="s">
        <v>31</v>
      </c>
      <c r="F83" s="3">
        <v>4000</v>
      </c>
      <c r="G83">
        <v>0</v>
      </c>
      <c r="H83">
        <v>1</v>
      </c>
      <c r="I83">
        <v>4</v>
      </c>
      <c r="J83">
        <v>-9.9</v>
      </c>
      <c r="K83" s="2">
        <v>0</v>
      </c>
    </row>
    <row r="84" spans="1:11" x14ac:dyDescent="0.25">
      <c r="A84">
        <v>40470232</v>
      </c>
      <c r="B84" t="s">
        <v>139</v>
      </c>
      <c r="C84" t="s">
        <v>3</v>
      </c>
      <c r="D84" t="s">
        <v>7</v>
      </c>
      <c r="E84" t="s">
        <v>318</v>
      </c>
      <c r="F84" s="3">
        <v>4000</v>
      </c>
      <c r="G84">
        <v>0</v>
      </c>
      <c r="H84">
        <v>0.1</v>
      </c>
      <c r="I84">
        <v>0.4</v>
      </c>
      <c r="J84">
        <v>-10.9</v>
      </c>
      <c r="K84" s="2">
        <v>0</v>
      </c>
    </row>
    <row r="85" spans="1:11" x14ac:dyDescent="0.25">
      <c r="A85">
        <v>40470240</v>
      </c>
      <c r="B85" t="s">
        <v>140</v>
      </c>
      <c r="C85" t="s">
        <v>3</v>
      </c>
      <c r="D85" t="s">
        <v>7</v>
      </c>
      <c r="E85" t="s">
        <v>318</v>
      </c>
      <c r="F85" s="3">
        <v>4000</v>
      </c>
      <c r="G85">
        <v>0</v>
      </c>
      <c r="H85">
        <v>2.1</v>
      </c>
      <c r="I85">
        <v>6</v>
      </c>
      <c r="J85">
        <v>-8.8000000000000007</v>
      </c>
      <c r="K85" s="2">
        <v>0</v>
      </c>
    </row>
    <row r="86" spans="1:11" x14ac:dyDescent="0.25">
      <c r="A86">
        <v>40470242</v>
      </c>
      <c r="B86" t="s">
        <v>146</v>
      </c>
      <c r="C86" t="s">
        <v>3</v>
      </c>
      <c r="D86" t="s">
        <v>25</v>
      </c>
      <c r="E86" t="s">
        <v>317</v>
      </c>
      <c r="F86" s="3">
        <v>4000</v>
      </c>
      <c r="G86">
        <v>0</v>
      </c>
      <c r="H86">
        <v>0.1</v>
      </c>
      <c r="I86">
        <v>0.4</v>
      </c>
      <c r="J86">
        <v>-10.9</v>
      </c>
      <c r="K86" s="2">
        <v>0</v>
      </c>
    </row>
    <row r="87" spans="1:11" x14ac:dyDescent="0.25">
      <c r="A87">
        <v>40470248</v>
      </c>
      <c r="B87" t="s">
        <v>133</v>
      </c>
      <c r="C87" t="s">
        <v>3</v>
      </c>
      <c r="D87" t="s">
        <v>41</v>
      </c>
      <c r="E87" t="s">
        <v>19</v>
      </c>
      <c r="F87" s="3">
        <v>4000</v>
      </c>
      <c r="G87">
        <v>0</v>
      </c>
      <c r="H87">
        <v>0.4</v>
      </c>
      <c r="I87">
        <v>1.9</v>
      </c>
      <c r="J87">
        <v>-10.5</v>
      </c>
      <c r="K87" s="2">
        <v>0</v>
      </c>
    </row>
    <row r="88" spans="1:11" x14ac:dyDescent="0.25">
      <c r="A88">
        <v>40470256</v>
      </c>
      <c r="B88" t="s">
        <v>129</v>
      </c>
      <c r="C88" t="s">
        <v>3</v>
      </c>
      <c r="D88" t="s">
        <v>26</v>
      </c>
      <c r="E88" t="s">
        <v>39</v>
      </c>
      <c r="F88" s="3">
        <v>4000</v>
      </c>
      <c r="G88">
        <v>0</v>
      </c>
      <c r="H88">
        <v>1.1000000000000001</v>
      </c>
      <c r="I88">
        <v>4</v>
      </c>
      <c r="J88">
        <v>-9.8000000000000007</v>
      </c>
      <c r="K88" s="2">
        <v>0</v>
      </c>
    </row>
    <row r="89" spans="1:11" x14ac:dyDescent="0.25">
      <c r="A89">
        <v>40470260</v>
      </c>
      <c r="B89" t="s">
        <v>130</v>
      </c>
      <c r="C89" t="s">
        <v>3</v>
      </c>
      <c r="D89" t="s">
        <v>26</v>
      </c>
      <c r="E89" t="s">
        <v>39</v>
      </c>
      <c r="F89" s="3">
        <v>4000</v>
      </c>
      <c r="G89">
        <v>0</v>
      </c>
      <c r="H89">
        <v>0.2</v>
      </c>
      <c r="I89">
        <v>0.8</v>
      </c>
      <c r="J89">
        <v>-10.8</v>
      </c>
      <c r="K89" s="2">
        <v>0</v>
      </c>
    </row>
    <row r="90" spans="1:11" x14ac:dyDescent="0.25">
      <c r="A90">
        <v>40470264</v>
      </c>
      <c r="B90" t="s">
        <v>11</v>
      </c>
      <c r="C90" t="s">
        <v>10</v>
      </c>
      <c r="D90" t="s">
        <v>12</v>
      </c>
      <c r="E90" t="s">
        <v>47</v>
      </c>
      <c r="F90" s="3">
        <v>8100</v>
      </c>
      <c r="G90">
        <v>9.6</v>
      </c>
      <c r="H90">
        <v>22.5</v>
      </c>
      <c r="I90">
        <v>37.6</v>
      </c>
      <c r="J90">
        <v>3.4</v>
      </c>
      <c r="K90" s="2">
        <v>0.33900000000000002</v>
      </c>
    </row>
    <row r="91" spans="1:11" x14ac:dyDescent="0.25">
      <c r="A91">
        <v>40470266</v>
      </c>
      <c r="B91" t="s">
        <v>13</v>
      </c>
      <c r="C91" t="s">
        <v>10</v>
      </c>
      <c r="D91" t="s">
        <v>14</v>
      </c>
      <c r="E91" t="s">
        <v>315</v>
      </c>
      <c r="F91" s="3">
        <v>7800</v>
      </c>
      <c r="G91">
        <v>7.7</v>
      </c>
      <c r="H91">
        <v>19.5</v>
      </c>
      <c r="I91">
        <v>34</v>
      </c>
      <c r="J91">
        <v>1.1000000000000001</v>
      </c>
      <c r="K91" s="2">
        <v>0.1</v>
      </c>
    </row>
    <row r="92" spans="1:11" x14ac:dyDescent="0.25">
      <c r="A92">
        <v>40470270</v>
      </c>
      <c r="B92" t="s">
        <v>23</v>
      </c>
      <c r="C92" t="s">
        <v>10</v>
      </c>
      <c r="D92" t="s">
        <v>14</v>
      </c>
      <c r="E92" t="s">
        <v>315</v>
      </c>
      <c r="F92" s="3">
        <v>7100</v>
      </c>
      <c r="G92">
        <v>4.3</v>
      </c>
      <c r="H92">
        <v>14.5</v>
      </c>
      <c r="I92">
        <v>27.5</v>
      </c>
      <c r="J92">
        <v>-2.5</v>
      </c>
      <c r="K92" s="2">
        <v>5.3999999999999999E-2</v>
      </c>
    </row>
    <row r="93" spans="1:11" x14ac:dyDescent="0.25">
      <c r="A93">
        <v>40470272</v>
      </c>
      <c r="B93" t="s">
        <v>24</v>
      </c>
      <c r="C93" t="s">
        <v>10</v>
      </c>
      <c r="D93" t="s">
        <v>25</v>
      </c>
      <c r="E93" t="s">
        <v>317</v>
      </c>
      <c r="F93" s="3">
        <v>7000</v>
      </c>
      <c r="G93">
        <v>6.3</v>
      </c>
      <c r="H93">
        <v>17.8</v>
      </c>
      <c r="I93">
        <v>32.5</v>
      </c>
      <c r="J93">
        <v>0.9</v>
      </c>
      <c r="K93" s="2">
        <v>0.186</v>
      </c>
    </row>
    <row r="94" spans="1:11" x14ac:dyDescent="0.25">
      <c r="A94">
        <v>40470276</v>
      </c>
      <c r="B94" t="s">
        <v>35</v>
      </c>
      <c r="C94" t="s">
        <v>10</v>
      </c>
      <c r="D94" t="s">
        <v>9</v>
      </c>
      <c r="E94" t="s">
        <v>21</v>
      </c>
      <c r="F94" s="3">
        <v>6400</v>
      </c>
      <c r="G94">
        <v>5.2</v>
      </c>
      <c r="H94">
        <v>15.2</v>
      </c>
      <c r="I94">
        <v>28.2</v>
      </c>
      <c r="J94">
        <v>-0.5</v>
      </c>
      <c r="K94" s="2">
        <v>0.19500000000000001</v>
      </c>
    </row>
    <row r="95" spans="1:11" x14ac:dyDescent="0.25">
      <c r="A95">
        <v>40470278</v>
      </c>
      <c r="B95" t="s">
        <v>38</v>
      </c>
      <c r="C95" t="s">
        <v>10</v>
      </c>
      <c r="D95" t="s">
        <v>39</v>
      </c>
      <c r="E95" t="s">
        <v>319</v>
      </c>
      <c r="F95" s="3">
        <v>6300</v>
      </c>
      <c r="G95">
        <v>3.7</v>
      </c>
      <c r="H95">
        <v>12.8</v>
      </c>
      <c r="I95">
        <v>24.6</v>
      </c>
      <c r="J95">
        <v>-2.7</v>
      </c>
      <c r="K95" s="2">
        <v>0.06</v>
      </c>
    </row>
    <row r="96" spans="1:11" x14ac:dyDescent="0.25">
      <c r="A96">
        <v>40470280</v>
      </c>
      <c r="B96" t="s">
        <v>44</v>
      </c>
      <c r="C96" t="s">
        <v>10</v>
      </c>
      <c r="D96" t="s">
        <v>45</v>
      </c>
      <c r="E96" t="s">
        <v>14</v>
      </c>
      <c r="F96" s="3">
        <v>6200</v>
      </c>
      <c r="G96">
        <v>4.3</v>
      </c>
      <c r="H96">
        <v>14.3</v>
      </c>
      <c r="I96">
        <v>27.3</v>
      </c>
      <c r="J96">
        <v>-1</v>
      </c>
      <c r="K96" s="2">
        <v>0.122</v>
      </c>
    </row>
    <row r="97" spans="1:11" x14ac:dyDescent="0.25">
      <c r="A97">
        <v>40470286</v>
      </c>
      <c r="B97" t="s">
        <v>54</v>
      </c>
      <c r="C97" t="s">
        <v>10</v>
      </c>
      <c r="D97" t="s">
        <v>16</v>
      </c>
      <c r="E97" t="s">
        <v>31</v>
      </c>
      <c r="F97" s="3">
        <v>5900</v>
      </c>
      <c r="G97">
        <v>6.9</v>
      </c>
      <c r="H97">
        <v>17.600000000000001</v>
      </c>
      <c r="I97">
        <v>31.6</v>
      </c>
      <c r="J97">
        <v>2.9</v>
      </c>
      <c r="K97" s="2">
        <v>0.29399999999999998</v>
      </c>
    </row>
    <row r="98" spans="1:11" x14ac:dyDescent="0.25">
      <c r="A98">
        <v>40470288</v>
      </c>
      <c r="B98" t="s">
        <v>55</v>
      </c>
      <c r="C98" t="s">
        <v>10</v>
      </c>
      <c r="D98" t="s">
        <v>43</v>
      </c>
      <c r="E98" t="s">
        <v>33</v>
      </c>
      <c r="F98" s="3">
        <v>5800</v>
      </c>
      <c r="G98">
        <v>5.0999999999999996</v>
      </c>
      <c r="H98">
        <v>14.4</v>
      </c>
      <c r="I98">
        <v>26.7</v>
      </c>
      <c r="J98">
        <v>-0.1</v>
      </c>
      <c r="K98" s="2">
        <v>0.108</v>
      </c>
    </row>
    <row r="99" spans="1:11" x14ac:dyDescent="0.25">
      <c r="A99">
        <v>40470290</v>
      </c>
      <c r="B99" t="s">
        <v>56</v>
      </c>
      <c r="C99" t="s">
        <v>10</v>
      </c>
      <c r="D99" t="s">
        <v>57</v>
      </c>
      <c r="E99" t="s">
        <v>25</v>
      </c>
      <c r="F99" s="3">
        <v>5800</v>
      </c>
      <c r="G99">
        <v>6</v>
      </c>
      <c r="H99">
        <v>15.8</v>
      </c>
      <c r="I99">
        <v>28.2</v>
      </c>
      <c r="J99">
        <v>1.3</v>
      </c>
      <c r="K99" s="2">
        <v>0.20899999999999999</v>
      </c>
    </row>
    <row r="100" spans="1:11" x14ac:dyDescent="0.25">
      <c r="A100">
        <v>40470292</v>
      </c>
      <c r="B100" t="s">
        <v>60</v>
      </c>
      <c r="C100" t="s">
        <v>10</v>
      </c>
      <c r="D100" t="s">
        <v>41</v>
      </c>
      <c r="E100" t="s">
        <v>19</v>
      </c>
      <c r="F100" s="3">
        <v>5700</v>
      </c>
      <c r="G100">
        <v>3.9</v>
      </c>
      <c r="H100">
        <v>12.9</v>
      </c>
      <c r="I100">
        <v>24.4</v>
      </c>
      <c r="J100">
        <v>-1.4</v>
      </c>
      <c r="K100" s="2">
        <v>7.6999999999999999E-2</v>
      </c>
    </row>
    <row r="101" spans="1:11" x14ac:dyDescent="0.25">
      <c r="A101">
        <v>40470294</v>
      </c>
      <c r="B101" t="s">
        <v>59</v>
      </c>
      <c r="C101" t="s">
        <v>10</v>
      </c>
      <c r="D101" t="s">
        <v>21</v>
      </c>
      <c r="E101" t="s">
        <v>313</v>
      </c>
      <c r="F101" s="3">
        <v>5700</v>
      </c>
      <c r="G101">
        <v>5</v>
      </c>
      <c r="H101">
        <v>14.7</v>
      </c>
      <c r="I101">
        <v>27.3</v>
      </c>
      <c r="J101">
        <v>0.4</v>
      </c>
      <c r="K101" s="2">
        <v>0.11899999999999999</v>
      </c>
    </row>
    <row r="102" spans="1:11" x14ac:dyDescent="0.25">
      <c r="A102">
        <v>40470296</v>
      </c>
      <c r="B102" t="s">
        <v>63</v>
      </c>
      <c r="C102" t="s">
        <v>10</v>
      </c>
      <c r="D102" t="s">
        <v>12</v>
      </c>
      <c r="E102" t="s">
        <v>47</v>
      </c>
      <c r="F102" s="3">
        <v>5600</v>
      </c>
      <c r="G102">
        <v>3.9</v>
      </c>
      <c r="H102">
        <v>13.5</v>
      </c>
      <c r="I102">
        <v>25.6</v>
      </c>
      <c r="J102">
        <v>-0.6</v>
      </c>
      <c r="K102" s="2">
        <v>0.104</v>
      </c>
    </row>
    <row r="103" spans="1:11" x14ac:dyDescent="0.25">
      <c r="A103">
        <v>40470298</v>
      </c>
      <c r="B103" t="s">
        <v>64</v>
      </c>
      <c r="C103" t="s">
        <v>10</v>
      </c>
      <c r="D103" t="s">
        <v>5</v>
      </c>
      <c r="E103" t="s">
        <v>76</v>
      </c>
      <c r="F103" s="3">
        <v>5600</v>
      </c>
      <c r="G103">
        <v>4.3</v>
      </c>
      <c r="H103">
        <v>12.8</v>
      </c>
      <c r="I103">
        <v>24.8</v>
      </c>
      <c r="J103">
        <v>-1.3</v>
      </c>
      <c r="K103" s="2">
        <v>0.09</v>
      </c>
    </row>
    <row r="104" spans="1:11" x14ac:dyDescent="0.25">
      <c r="A104">
        <v>40470302</v>
      </c>
      <c r="B104" t="s">
        <v>68</v>
      </c>
      <c r="C104" t="s">
        <v>10</v>
      </c>
      <c r="D104" t="s">
        <v>26</v>
      </c>
      <c r="E104" t="s">
        <v>39</v>
      </c>
      <c r="F104" s="3">
        <v>5400</v>
      </c>
      <c r="G104">
        <v>3.8</v>
      </c>
      <c r="H104">
        <v>11.7</v>
      </c>
      <c r="I104">
        <v>22.3</v>
      </c>
      <c r="J104">
        <v>-2</v>
      </c>
      <c r="K104" s="2">
        <v>7.5999999999999998E-2</v>
      </c>
    </row>
    <row r="105" spans="1:11" x14ac:dyDescent="0.25">
      <c r="A105">
        <v>40470306</v>
      </c>
      <c r="B105" t="s">
        <v>71</v>
      </c>
      <c r="C105" t="s">
        <v>10</v>
      </c>
      <c r="D105" t="s">
        <v>39</v>
      </c>
      <c r="E105" t="s">
        <v>319</v>
      </c>
      <c r="F105" s="3">
        <v>5300</v>
      </c>
      <c r="G105">
        <v>2.7</v>
      </c>
      <c r="H105">
        <v>9.6</v>
      </c>
      <c r="I105">
        <v>18.899999999999999</v>
      </c>
      <c r="J105">
        <v>-3.9</v>
      </c>
      <c r="K105" s="2">
        <v>1.4E-2</v>
      </c>
    </row>
    <row r="106" spans="1:11" x14ac:dyDescent="0.25">
      <c r="A106">
        <v>40470308</v>
      </c>
      <c r="B106" t="s">
        <v>74</v>
      </c>
      <c r="C106" t="s">
        <v>10</v>
      </c>
      <c r="D106" t="s">
        <v>31</v>
      </c>
      <c r="E106" t="s">
        <v>312</v>
      </c>
      <c r="F106" s="3">
        <v>5200</v>
      </c>
      <c r="G106">
        <v>4.2</v>
      </c>
      <c r="H106">
        <v>12.4</v>
      </c>
      <c r="I106">
        <v>23</v>
      </c>
      <c r="J106">
        <v>-0.9</v>
      </c>
      <c r="K106" s="2">
        <v>0.08</v>
      </c>
    </row>
    <row r="107" spans="1:11" x14ac:dyDescent="0.25">
      <c r="A107">
        <v>40470310</v>
      </c>
      <c r="B107" t="s">
        <v>77</v>
      </c>
      <c r="C107" t="s">
        <v>10</v>
      </c>
      <c r="D107" t="s">
        <v>19</v>
      </c>
      <c r="E107" t="s">
        <v>320</v>
      </c>
      <c r="F107" s="3">
        <v>5100</v>
      </c>
      <c r="G107">
        <v>4.0999999999999996</v>
      </c>
      <c r="H107">
        <v>11.8</v>
      </c>
      <c r="I107">
        <v>22.5</v>
      </c>
      <c r="J107">
        <v>-1.3</v>
      </c>
      <c r="K107" s="2">
        <v>6.9000000000000006E-2</v>
      </c>
    </row>
    <row r="108" spans="1:11" x14ac:dyDescent="0.25">
      <c r="A108">
        <v>40470312</v>
      </c>
      <c r="B108" t="s">
        <v>80</v>
      </c>
      <c r="C108" t="s">
        <v>10</v>
      </c>
      <c r="D108" t="s">
        <v>7</v>
      </c>
      <c r="E108" t="s">
        <v>318</v>
      </c>
      <c r="F108" s="3">
        <v>5100</v>
      </c>
      <c r="G108">
        <v>2.2999999999999998</v>
      </c>
      <c r="H108">
        <v>8.8000000000000007</v>
      </c>
      <c r="I108">
        <v>17.7</v>
      </c>
      <c r="J108">
        <v>-4.3</v>
      </c>
      <c r="K108" s="2">
        <v>6.0000000000000001E-3</v>
      </c>
    </row>
    <row r="109" spans="1:11" x14ac:dyDescent="0.25">
      <c r="A109">
        <v>40470314</v>
      </c>
      <c r="B109" t="s">
        <v>81</v>
      </c>
      <c r="C109" t="s">
        <v>10</v>
      </c>
      <c r="D109" t="s">
        <v>19</v>
      </c>
      <c r="E109" t="s">
        <v>320</v>
      </c>
      <c r="F109" s="3">
        <v>5000</v>
      </c>
      <c r="G109">
        <v>3</v>
      </c>
      <c r="H109">
        <v>11.6</v>
      </c>
      <c r="I109">
        <v>23.4</v>
      </c>
      <c r="J109">
        <v>-1.3</v>
      </c>
      <c r="K109" s="2">
        <v>4.2999999999999997E-2</v>
      </c>
    </row>
    <row r="110" spans="1:11" x14ac:dyDescent="0.25">
      <c r="A110">
        <v>40470320</v>
      </c>
      <c r="B110" t="s">
        <v>87</v>
      </c>
      <c r="C110" t="s">
        <v>10</v>
      </c>
      <c r="D110" t="s">
        <v>43</v>
      </c>
      <c r="E110" t="s">
        <v>33</v>
      </c>
      <c r="F110" s="3">
        <v>4800</v>
      </c>
      <c r="G110">
        <v>1.1000000000000001</v>
      </c>
      <c r="H110">
        <v>7.9</v>
      </c>
      <c r="I110">
        <v>17.5</v>
      </c>
      <c r="J110">
        <v>-4.5999999999999996</v>
      </c>
      <c r="K110" s="2">
        <v>7.0000000000000001E-3</v>
      </c>
    </row>
    <row r="111" spans="1:11" x14ac:dyDescent="0.25">
      <c r="A111">
        <v>40470322</v>
      </c>
      <c r="B111" t="s">
        <v>92</v>
      </c>
      <c r="C111" t="s">
        <v>10</v>
      </c>
      <c r="D111" t="s">
        <v>5</v>
      </c>
      <c r="E111" t="s">
        <v>76</v>
      </c>
      <c r="F111" s="3">
        <v>4700</v>
      </c>
      <c r="G111">
        <v>3</v>
      </c>
      <c r="H111">
        <v>10</v>
      </c>
      <c r="I111">
        <v>19.7</v>
      </c>
      <c r="J111">
        <v>-2.4</v>
      </c>
      <c r="K111" s="2">
        <v>1.9E-2</v>
      </c>
    </row>
    <row r="112" spans="1:11" x14ac:dyDescent="0.25">
      <c r="A112">
        <v>40470324</v>
      </c>
      <c r="B112" t="s">
        <v>90</v>
      </c>
      <c r="C112" t="s">
        <v>10</v>
      </c>
      <c r="D112" t="s">
        <v>57</v>
      </c>
      <c r="E112" t="s">
        <v>25</v>
      </c>
      <c r="F112" s="3">
        <v>4700</v>
      </c>
      <c r="G112">
        <v>3.8</v>
      </c>
      <c r="H112">
        <v>12.5</v>
      </c>
      <c r="I112">
        <v>23.7</v>
      </c>
      <c r="J112">
        <v>0.2</v>
      </c>
      <c r="K112" s="2">
        <v>0.123</v>
      </c>
    </row>
    <row r="113" spans="1:11" x14ac:dyDescent="0.25">
      <c r="A113">
        <v>40470326</v>
      </c>
      <c r="B113" t="s">
        <v>93</v>
      </c>
      <c r="C113" t="s">
        <v>10</v>
      </c>
      <c r="D113" t="s">
        <v>7</v>
      </c>
      <c r="E113" t="s">
        <v>318</v>
      </c>
      <c r="F113" s="3">
        <v>4600</v>
      </c>
      <c r="G113">
        <v>3.1</v>
      </c>
      <c r="H113">
        <v>10.3</v>
      </c>
      <c r="I113">
        <v>20.2</v>
      </c>
      <c r="J113">
        <v>-1.8</v>
      </c>
      <c r="K113" s="2">
        <v>3.1E-2</v>
      </c>
    </row>
    <row r="114" spans="1:11" x14ac:dyDescent="0.25">
      <c r="A114">
        <v>40470328</v>
      </c>
      <c r="B114" t="s">
        <v>97</v>
      </c>
      <c r="C114" t="s">
        <v>10</v>
      </c>
      <c r="D114" t="s">
        <v>5</v>
      </c>
      <c r="E114" t="s">
        <v>76</v>
      </c>
      <c r="F114" s="3">
        <v>4600</v>
      </c>
      <c r="G114">
        <v>1.6</v>
      </c>
      <c r="H114">
        <v>9.3000000000000007</v>
      </c>
      <c r="I114">
        <v>20.2</v>
      </c>
      <c r="J114">
        <v>-2.9</v>
      </c>
      <c r="K114" s="2">
        <v>2.3E-2</v>
      </c>
    </row>
    <row r="115" spans="1:11" x14ac:dyDescent="0.25">
      <c r="A115">
        <v>40470330</v>
      </c>
      <c r="B115" t="s">
        <v>103</v>
      </c>
      <c r="C115" t="s">
        <v>10</v>
      </c>
      <c r="D115" t="s">
        <v>25</v>
      </c>
      <c r="E115" t="s">
        <v>317</v>
      </c>
      <c r="F115" s="3">
        <v>4500</v>
      </c>
      <c r="G115">
        <v>2.5</v>
      </c>
      <c r="H115">
        <v>9.5</v>
      </c>
      <c r="I115">
        <v>19.3</v>
      </c>
      <c r="J115">
        <v>-2.4</v>
      </c>
      <c r="K115" s="2">
        <v>1.7000000000000001E-2</v>
      </c>
    </row>
    <row r="116" spans="1:11" x14ac:dyDescent="0.25">
      <c r="A116">
        <v>40470332</v>
      </c>
      <c r="B116" t="s">
        <v>105</v>
      </c>
      <c r="C116" t="s">
        <v>10</v>
      </c>
      <c r="D116" t="s">
        <v>9</v>
      </c>
      <c r="E116" t="s">
        <v>21</v>
      </c>
      <c r="F116" s="3">
        <v>4400</v>
      </c>
      <c r="G116">
        <v>3</v>
      </c>
      <c r="H116">
        <v>11.4</v>
      </c>
      <c r="I116">
        <v>23</v>
      </c>
      <c r="J116">
        <v>-0.4</v>
      </c>
      <c r="K116" s="2">
        <v>7.0000000000000007E-2</v>
      </c>
    </row>
    <row r="117" spans="1:11" x14ac:dyDescent="0.25">
      <c r="A117">
        <v>40470334</v>
      </c>
      <c r="B117" t="s">
        <v>113</v>
      </c>
      <c r="C117" t="s">
        <v>10</v>
      </c>
      <c r="D117" t="s">
        <v>31</v>
      </c>
      <c r="E117" t="s">
        <v>312</v>
      </c>
      <c r="F117" s="3">
        <v>4300</v>
      </c>
      <c r="G117">
        <v>2.1</v>
      </c>
      <c r="H117">
        <v>9.5</v>
      </c>
      <c r="I117">
        <v>19.3</v>
      </c>
      <c r="J117">
        <v>-2</v>
      </c>
      <c r="K117" s="2">
        <v>1.6E-2</v>
      </c>
    </row>
    <row r="118" spans="1:11" x14ac:dyDescent="0.25">
      <c r="A118">
        <v>40470336</v>
      </c>
      <c r="B118" t="s">
        <v>114</v>
      </c>
      <c r="C118" t="s">
        <v>10</v>
      </c>
      <c r="D118" t="s">
        <v>25</v>
      </c>
      <c r="E118" t="s">
        <v>317</v>
      </c>
      <c r="F118" s="3">
        <v>4300</v>
      </c>
      <c r="G118">
        <v>3</v>
      </c>
      <c r="H118">
        <v>11.5</v>
      </c>
      <c r="I118">
        <v>23.1</v>
      </c>
      <c r="J118">
        <v>0</v>
      </c>
      <c r="K118" s="2">
        <v>0.107</v>
      </c>
    </row>
    <row r="119" spans="1:11" x14ac:dyDescent="0.25">
      <c r="A119">
        <v>40470338</v>
      </c>
      <c r="B119" t="s">
        <v>120</v>
      </c>
      <c r="C119" t="s">
        <v>10</v>
      </c>
      <c r="D119" t="s">
        <v>45</v>
      </c>
      <c r="E119" t="s">
        <v>14</v>
      </c>
      <c r="F119" s="3">
        <v>4200</v>
      </c>
      <c r="G119">
        <v>2.6</v>
      </c>
      <c r="H119">
        <v>10.1</v>
      </c>
      <c r="I119">
        <v>20.399999999999999</v>
      </c>
      <c r="J119">
        <v>-1.3</v>
      </c>
      <c r="K119" s="2">
        <v>7.5999999999999998E-2</v>
      </c>
    </row>
    <row r="120" spans="1:11" x14ac:dyDescent="0.25">
      <c r="A120">
        <v>40470340</v>
      </c>
      <c r="B120" t="s">
        <v>115</v>
      </c>
      <c r="C120" t="s">
        <v>10</v>
      </c>
      <c r="D120" t="s">
        <v>26</v>
      </c>
      <c r="E120" t="s">
        <v>39</v>
      </c>
      <c r="F120" s="3">
        <v>4200</v>
      </c>
      <c r="G120">
        <v>0</v>
      </c>
      <c r="H120">
        <v>3.6</v>
      </c>
      <c r="I120">
        <v>9.4</v>
      </c>
      <c r="J120">
        <v>-7.7</v>
      </c>
      <c r="K120" s="2">
        <v>0</v>
      </c>
    </row>
    <row r="121" spans="1:11" x14ac:dyDescent="0.25">
      <c r="A121">
        <v>40470342</v>
      </c>
      <c r="B121" t="s">
        <v>123</v>
      </c>
      <c r="C121" t="s">
        <v>10</v>
      </c>
      <c r="D121" t="s">
        <v>33</v>
      </c>
      <c r="E121" t="s">
        <v>316</v>
      </c>
      <c r="F121" s="3">
        <v>4100</v>
      </c>
      <c r="G121">
        <v>3.2</v>
      </c>
      <c r="H121">
        <v>10.9</v>
      </c>
      <c r="I121">
        <v>20.8</v>
      </c>
      <c r="J121">
        <v>-0.3</v>
      </c>
      <c r="K121" s="2">
        <v>6.3E-2</v>
      </c>
    </row>
    <row r="122" spans="1:11" x14ac:dyDescent="0.25">
      <c r="A122">
        <v>40470344</v>
      </c>
      <c r="B122" t="s">
        <v>121</v>
      </c>
      <c r="C122" t="s">
        <v>10</v>
      </c>
      <c r="D122" t="s">
        <v>26</v>
      </c>
      <c r="E122" t="s">
        <v>39</v>
      </c>
      <c r="F122" s="3">
        <v>4100</v>
      </c>
      <c r="G122">
        <v>0.6</v>
      </c>
      <c r="H122">
        <v>5.8</v>
      </c>
      <c r="I122">
        <v>13.2</v>
      </c>
      <c r="J122">
        <v>-5.3</v>
      </c>
      <c r="K122" s="2">
        <v>2E-3</v>
      </c>
    </row>
    <row r="123" spans="1:11" x14ac:dyDescent="0.25">
      <c r="A123">
        <v>40470350</v>
      </c>
      <c r="B123" t="s">
        <v>134</v>
      </c>
      <c r="C123" t="s">
        <v>10</v>
      </c>
      <c r="D123" t="s">
        <v>41</v>
      </c>
      <c r="E123" t="s">
        <v>19</v>
      </c>
      <c r="F123" s="3">
        <v>4000</v>
      </c>
      <c r="G123">
        <v>1.8</v>
      </c>
      <c r="H123">
        <v>8.1</v>
      </c>
      <c r="I123">
        <v>16.3</v>
      </c>
      <c r="J123">
        <v>-2.9</v>
      </c>
      <c r="K123" s="2">
        <v>1.4E-2</v>
      </c>
    </row>
    <row r="124" spans="1:11" x14ac:dyDescent="0.25">
      <c r="A124">
        <v>40470354</v>
      </c>
      <c r="B124" t="s">
        <v>156</v>
      </c>
      <c r="C124" t="s">
        <v>10</v>
      </c>
      <c r="D124" t="s">
        <v>45</v>
      </c>
      <c r="E124" t="s">
        <v>14</v>
      </c>
      <c r="F124" s="3">
        <v>3900</v>
      </c>
      <c r="G124">
        <v>2.2000000000000002</v>
      </c>
      <c r="H124">
        <v>8.9</v>
      </c>
      <c r="I124">
        <v>18.100000000000001</v>
      </c>
      <c r="J124">
        <v>-1.8</v>
      </c>
      <c r="K124" s="2">
        <v>4.7E-2</v>
      </c>
    </row>
    <row r="125" spans="1:11" x14ac:dyDescent="0.25">
      <c r="A125">
        <v>40470356</v>
      </c>
      <c r="B125" t="s">
        <v>157</v>
      </c>
      <c r="C125" t="s">
        <v>10</v>
      </c>
      <c r="D125" t="s">
        <v>76</v>
      </c>
      <c r="E125" t="s">
        <v>311</v>
      </c>
      <c r="F125" s="3">
        <v>3900</v>
      </c>
      <c r="G125">
        <v>2.4</v>
      </c>
      <c r="H125">
        <v>9.8000000000000007</v>
      </c>
      <c r="I125">
        <v>19.2</v>
      </c>
      <c r="J125">
        <v>-1</v>
      </c>
      <c r="K125" s="2">
        <v>4.4999999999999998E-2</v>
      </c>
    </row>
    <row r="126" spans="1:11" x14ac:dyDescent="0.25">
      <c r="A126">
        <v>40470358</v>
      </c>
      <c r="B126" t="s">
        <v>159</v>
      </c>
      <c r="C126" t="s">
        <v>10</v>
      </c>
      <c r="D126" t="s">
        <v>41</v>
      </c>
      <c r="E126" t="s">
        <v>19</v>
      </c>
      <c r="F126" s="3">
        <v>3800</v>
      </c>
      <c r="G126">
        <v>0.8</v>
      </c>
      <c r="H126">
        <v>5.9</v>
      </c>
      <c r="I126">
        <v>12.9</v>
      </c>
      <c r="J126">
        <v>-4.5999999999999996</v>
      </c>
      <c r="K126" s="2">
        <v>4.0000000000000001E-3</v>
      </c>
    </row>
    <row r="127" spans="1:11" x14ac:dyDescent="0.25">
      <c r="A127">
        <v>40470360</v>
      </c>
      <c r="B127" t="s">
        <v>158</v>
      </c>
      <c r="C127" t="s">
        <v>10</v>
      </c>
      <c r="D127" t="s">
        <v>39</v>
      </c>
      <c r="E127" t="s">
        <v>319</v>
      </c>
      <c r="F127" s="3">
        <v>3800</v>
      </c>
      <c r="G127">
        <v>0.5</v>
      </c>
      <c r="H127">
        <v>5.0999999999999996</v>
      </c>
      <c r="I127">
        <v>11.8</v>
      </c>
      <c r="J127">
        <v>-5.5</v>
      </c>
      <c r="K127" s="2">
        <v>2E-3</v>
      </c>
    </row>
    <row r="128" spans="1:11" x14ac:dyDescent="0.25">
      <c r="A128">
        <v>40470362</v>
      </c>
      <c r="B128" t="s">
        <v>160</v>
      </c>
      <c r="C128" t="s">
        <v>10</v>
      </c>
      <c r="D128" t="s">
        <v>43</v>
      </c>
      <c r="E128" t="s">
        <v>33</v>
      </c>
      <c r="F128" s="3">
        <v>3800</v>
      </c>
      <c r="G128">
        <v>0.8</v>
      </c>
      <c r="H128">
        <v>5.7</v>
      </c>
      <c r="I128">
        <v>12.8</v>
      </c>
      <c r="J128">
        <v>-4.9000000000000004</v>
      </c>
      <c r="K128" s="2">
        <v>2E-3</v>
      </c>
    </row>
    <row r="129" spans="1:11" x14ac:dyDescent="0.25">
      <c r="A129">
        <v>40470364</v>
      </c>
      <c r="B129" t="s">
        <v>165</v>
      </c>
      <c r="C129" t="s">
        <v>10</v>
      </c>
      <c r="D129" t="s">
        <v>22</v>
      </c>
      <c r="E129" t="s">
        <v>7</v>
      </c>
      <c r="F129" s="3">
        <v>3700</v>
      </c>
      <c r="G129">
        <v>1.5</v>
      </c>
      <c r="H129">
        <v>7.8</v>
      </c>
      <c r="I129">
        <v>16.5</v>
      </c>
      <c r="J129">
        <v>-2.5</v>
      </c>
      <c r="K129" s="2">
        <v>1.2E-2</v>
      </c>
    </row>
    <row r="130" spans="1:11" x14ac:dyDescent="0.25">
      <c r="A130">
        <v>40470366</v>
      </c>
      <c r="B130" t="s">
        <v>167</v>
      </c>
      <c r="C130" t="s">
        <v>10</v>
      </c>
      <c r="D130" t="s">
        <v>25</v>
      </c>
      <c r="E130" t="s">
        <v>317</v>
      </c>
      <c r="F130" s="3">
        <v>3700</v>
      </c>
      <c r="G130">
        <v>0</v>
      </c>
      <c r="H130">
        <v>1.9</v>
      </c>
      <c r="I130">
        <v>6.1</v>
      </c>
      <c r="J130">
        <v>-8.5</v>
      </c>
      <c r="K130" s="2">
        <v>0</v>
      </c>
    </row>
    <row r="131" spans="1:11" x14ac:dyDescent="0.25">
      <c r="A131">
        <v>40470368</v>
      </c>
      <c r="B131" t="s">
        <v>164</v>
      </c>
      <c r="C131" t="s">
        <v>10</v>
      </c>
      <c r="D131" t="s">
        <v>21</v>
      </c>
      <c r="E131" t="s">
        <v>313</v>
      </c>
      <c r="F131" s="3">
        <v>3700</v>
      </c>
      <c r="G131">
        <v>2.6</v>
      </c>
      <c r="H131">
        <v>8.8000000000000007</v>
      </c>
      <c r="I131">
        <v>16.8</v>
      </c>
      <c r="J131">
        <v>-1.5</v>
      </c>
      <c r="K131" s="2">
        <v>2.1000000000000001E-2</v>
      </c>
    </row>
    <row r="132" spans="1:11" x14ac:dyDescent="0.25">
      <c r="A132">
        <v>40470370</v>
      </c>
      <c r="B132" t="s">
        <v>171</v>
      </c>
      <c r="C132" t="s">
        <v>10</v>
      </c>
      <c r="D132" t="s">
        <v>14</v>
      </c>
      <c r="E132" t="s">
        <v>315</v>
      </c>
      <c r="F132" s="3">
        <v>3600</v>
      </c>
      <c r="G132">
        <v>0</v>
      </c>
      <c r="H132">
        <v>0.7</v>
      </c>
      <c r="I132">
        <v>2.9</v>
      </c>
      <c r="J132">
        <v>-9.5</v>
      </c>
      <c r="K132" s="2">
        <v>0</v>
      </c>
    </row>
    <row r="133" spans="1:11" x14ac:dyDescent="0.25">
      <c r="A133">
        <v>40470372</v>
      </c>
      <c r="B133" t="s">
        <v>169</v>
      </c>
      <c r="C133" t="s">
        <v>10</v>
      </c>
      <c r="D133" t="s">
        <v>12</v>
      </c>
      <c r="E133" t="s">
        <v>47</v>
      </c>
      <c r="F133" s="3">
        <v>3600</v>
      </c>
      <c r="G133">
        <v>0.5</v>
      </c>
      <c r="H133">
        <v>5.5</v>
      </c>
      <c r="I133">
        <v>12.6</v>
      </c>
      <c r="J133">
        <v>-4.7</v>
      </c>
      <c r="K133" s="2">
        <v>4.0000000000000001E-3</v>
      </c>
    </row>
    <row r="134" spans="1:11" x14ac:dyDescent="0.25">
      <c r="A134">
        <v>40470376</v>
      </c>
      <c r="B134" t="s">
        <v>175</v>
      </c>
      <c r="C134" t="s">
        <v>10</v>
      </c>
      <c r="D134" t="s">
        <v>22</v>
      </c>
      <c r="E134" t="s">
        <v>7</v>
      </c>
      <c r="F134" s="3">
        <v>3500</v>
      </c>
      <c r="G134">
        <v>1.7</v>
      </c>
      <c r="H134">
        <v>8.5</v>
      </c>
      <c r="I134">
        <v>17.7</v>
      </c>
      <c r="J134">
        <v>-1.5</v>
      </c>
      <c r="K134" s="2">
        <v>0.04</v>
      </c>
    </row>
    <row r="135" spans="1:11" x14ac:dyDescent="0.25">
      <c r="A135">
        <v>40470378</v>
      </c>
      <c r="B135" t="s">
        <v>173</v>
      </c>
      <c r="C135" t="s">
        <v>10</v>
      </c>
      <c r="D135" t="s">
        <v>19</v>
      </c>
      <c r="E135" t="s">
        <v>320</v>
      </c>
      <c r="F135" s="3">
        <v>3500</v>
      </c>
      <c r="G135">
        <v>0</v>
      </c>
      <c r="H135">
        <v>2</v>
      </c>
      <c r="I135">
        <v>6.2</v>
      </c>
      <c r="J135">
        <v>-8</v>
      </c>
      <c r="K135" s="2">
        <v>2E-3</v>
      </c>
    </row>
    <row r="136" spans="1:11" x14ac:dyDescent="0.25">
      <c r="A136">
        <v>40470380</v>
      </c>
      <c r="B136" t="s">
        <v>176</v>
      </c>
      <c r="C136" t="s">
        <v>10</v>
      </c>
      <c r="D136" t="s">
        <v>22</v>
      </c>
      <c r="E136" t="s">
        <v>7</v>
      </c>
      <c r="F136" s="3">
        <v>3500</v>
      </c>
      <c r="G136">
        <v>2</v>
      </c>
      <c r="H136">
        <v>8.6999999999999993</v>
      </c>
      <c r="I136">
        <v>17.7</v>
      </c>
      <c r="J136">
        <v>-1.2</v>
      </c>
      <c r="K136" s="2">
        <v>0.08</v>
      </c>
    </row>
    <row r="137" spans="1:11" x14ac:dyDescent="0.25">
      <c r="A137">
        <v>40470384</v>
      </c>
      <c r="B137" t="s">
        <v>181</v>
      </c>
      <c r="C137" t="s">
        <v>10</v>
      </c>
      <c r="D137" t="s">
        <v>76</v>
      </c>
      <c r="E137" t="s">
        <v>311</v>
      </c>
      <c r="F137" s="3">
        <v>3400</v>
      </c>
      <c r="G137">
        <v>1.7</v>
      </c>
      <c r="H137">
        <v>7.6</v>
      </c>
      <c r="I137">
        <v>15.2</v>
      </c>
      <c r="J137">
        <v>-2.2000000000000002</v>
      </c>
      <c r="K137" s="2">
        <v>2.1999999999999999E-2</v>
      </c>
    </row>
    <row r="138" spans="1:11" x14ac:dyDescent="0.25">
      <c r="A138">
        <v>40470386</v>
      </c>
      <c r="B138" t="s">
        <v>177</v>
      </c>
      <c r="C138" t="s">
        <v>10</v>
      </c>
      <c r="D138" t="s">
        <v>47</v>
      </c>
      <c r="E138" t="s">
        <v>314</v>
      </c>
      <c r="F138" s="3">
        <v>3400</v>
      </c>
      <c r="G138">
        <v>1.2</v>
      </c>
      <c r="H138">
        <v>6.9</v>
      </c>
      <c r="I138">
        <v>14.4</v>
      </c>
      <c r="J138">
        <v>-2.9</v>
      </c>
      <c r="K138" s="2">
        <v>8.9999999999999993E-3</v>
      </c>
    </row>
    <row r="139" spans="1:11" x14ac:dyDescent="0.25">
      <c r="A139">
        <v>40470388</v>
      </c>
      <c r="B139" t="s">
        <v>182</v>
      </c>
      <c r="C139" t="s">
        <v>10</v>
      </c>
      <c r="D139" t="s">
        <v>9</v>
      </c>
      <c r="E139" t="s">
        <v>21</v>
      </c>
      <c r="F139" s="3">
        <v>3300</v>
      </c>
      <c r="G139">
        <v>0</v>
      </c>
      <c r="H139">
        <v>2.2000000000000002</v>
      </c>
      <c r="I139">
        <v>7</v>
      </c>
      <c r="J139">
        <v>-7.3</v>
      </c>
      <c r="K139" s="2">
        <v>0</v>
      </c>
    </row>
    <row r="140" spans="1:11" x14ac:dyDescent="0.25">
      <c r="A140">
        <v>40470390</v>
      </c>
      <c r="B140" t="s">
        <v>183</v>
      </c>
      <c r="C140" t="s">
        <v>10</v>
      </c>
      <c r="D140" t="s">
        <v>39</v>
      </c>
      <c r="E140" t="s">
        <v>319</v>
      </c>
      <c r="F140" s="3">
        <v>3300</v>
      </c>
      <c r="G140">
        <v>1.6</v>
      </c>
      <c r="H140">
        <v>7.3</v>
      </c>
      <c r="I140">
        <v>15.2</v>
      </c>
      <c r="J140">
        <v>-2.2000000000000002</v>
      </c>
      <c r="K140" s="2">
        <v>6.0000000000000001E-3</v>
      </c>
    </row>
    <row r="141" spans="1:11" x14ac:dyDescent="0.25">
      <c r="A141">
        <v>40470392</v>
      </c>
      <c r="B141" t="s">
        <v>189</v>
      </c>
      <c r="C141" t="s">
        <v>10</v>
      </c>
      <c r="D141" t="s">
        <v>14</v>
      </c>
      <c r="E141" t="s">
        <v>315</v>
      </c>
      <c r="F141" s="3">
        <v>3300</v>
      </c>
      <c r="G141">
        <v>0.7</v>
      </c>
      <c r="H141">
        <v>5.6</v>
      </c>
      <c r="I141">
        <v>12.6</v>
      </c>
      <c r="J141">
        <v>-4</v>
      </c>
      <c r="K141" s="2">
        <v>3.0000000000000001E-3</v>
      </c>
    </row>
    <row r="142" spans="1:11" x14ac:dyDescent="0.25">
      <c r="A142">
        <v>40470394</v>
      </c>
      <c r="B142" t="s">
        <v>190</v>
      </c>
      <c r="C142" t="s">
        <v>10</v>
      </c>
      <c r="D142" t="s">
        <v>76</v>
      </c>
      <c r="E142" t="s">
        <v>311</v>
      </c>
      <c r="F142" s="3">
        <v>3300</v>
      </c>
      <c r="G142">
        <v>1.5</v>
      </c>
      <c r="H142">
        <v>7.9</v>
      </c>
      <c r="I142">
        <v>16.2</v>
      </c>
      <c r="J142">
        <v>-1.7</v>
      </c>
      <c r="K142" s="2">
        <v>2.3E-2</v>
      </c>
    </row>
    <row r="143" spans="1:11" x14ac:dyDescent="0.25">
      <c r="A143">
        <v>40470396</v>
      </c>
      <c r="B143" t="s">
        <v>186</v>
      </c>
      <c r="C143" t="s">
        <v>10</v>
      </c>
      <c r="D143" t="s">
        <v>43</v>
      </c>
      <c r="E143" t="s">
        <v>33</v>
      </c>
      <c r="F143" s="3">
        <v>3300</v>
      </c>
      <c r="G143">
        <v>0</v>
      </c>
      <c r="H143">
        <v>4.0999999999999996</v>
      </c>
      <c r="I143">
        <v>10.6</v>
      </c>
      <c r="J143">
        <v>-5.5</v>
      </c>
      <c r="K143" s="2">
        <v>0</v>
      </c>
    </row>
    <row r="144" spans="1:11" x14ac:dyDescent="0.25">
      <c r="A144">
        <v>40470398</v>
      </c>
      <c r="B144" t="s">
        <v>187</v>
      </c>
      <c r="C144" t="s">
        <v>10</v>
      </c>
      <c r="D144" t="s">
        <v>25</v>
      </c>
      <c r="E144" t="s">
        <v>317</v>
      </c>
      <c r="F144" s="3">
        <v>3300</v>
      </c>
      <c r="G144">
        <v>0</v>
      </c>
      <c r="H144">
        <v>0.7</v>
      </c>
      <c r="I144">
        <v>2.8</v>
      </c>
      <c r="J144">
        <v>-8.9</v>
      </c>
      <c r="K144" s="2">
        <v>0</v>
      </c>
    </row>
    <row r="145" spans="1:11" x14ac:dyDescent="0.25">
      <c r="A145">
        <v>40470400</v>
      </c>
      <c r="B145" t="s">
        <v>191</v>
      </c>
      <c r="C145" t="s">
        <v>10</v>
      </c>
      <c r="D145" t="s">
        <v>19</v>
      </c>
      <c r="E145" t="s">
        <v>320</v>
      </c>
      <c r="F145" s="3">
        <v>3200</v>
      </c>
      <c r="G145">
        <v>0</v>
      </c>
      <c r="H145">
        <v>3.9</v>
      </c>
      <c r="I145">
        <v>10.3</v>
      </c>
      <c r="J145">
        <v>-5.4</v>
      </c>
      <c r="K145" s="2">
        <v>0</v>
      </c>
    </row>
    <row r="146" spans="1:11" x14ac:dyDescent="0.25">
      <c r="A146">
        <v>40470402</v>
      </c>
      <c r="B146" t="s">
        <v>194</v>
      </c>
      <c r="C146" t="s">
        <v>10</v>
      </c>
      <c r="D146" t="s">
        <v>33</v>
      </c>
      <c r="E146" t="s">
        <v>316</v>
      </c>
      <c r="F146" s="3">
        <v>3200</v>
      </c>
      <c r="G146">
        <v>1.6</v>
      </c>
      <c r="H146">
        <v>7.4</v>
      </c>
      <c r="I146">
        <v>15.2</v>
      </c>
      <c r="J146">
        <v>-1.9</v>
      </c>
      <c r="K146" s="2">
        <v>5.0000000000000001E-3</v>
      </c>
    </row>
    <row r="147" spans="1:11" x14ac:dyDescent="0.25">
      <c r="A147">
        <v>40470406</v>
      </c>
      <c r="B147" t="s">
        <v>197</v>
      </c>
      <c r="C147" t="s">
        <v>10</v>
      </c>
      <c r="D147" t="s">
        <v>57</v>
      </c>
      <c r="E147" t="s">
        <v>25</v>
      </c>
      <c r="F147" s="3">
        <v>3200</v>
      </c>
      <c r="G147">
        <v>0</v>
      </c>
      <c r="H147">
        <v>3.9</v>
      </c>
      <c r="I147">
        <v>9.8000000000000007</v>
      </c>
      <c r="J147">
        <v>-5.4</v>
      </c>
      <c r="K147" s="2">
        <v>0</v>
      </c>
    </row>
    <row r="148" spans="1:11" x14ac:dyDescent="0.25">
      <c r="A148">
        <v>40470408</v>
      </c>
      <c r="B148" t="s">
        <v>195</v>
      </c>
      <c r="C148" t="s">
        <v>10</v>
      </c>
      <c r="D148" t="s">
        <v>31</v>
      </c>
      <c r="E148" t="s">
        <v>312</v>
      </c>
      <c r="F148" s="3">
        <v>3200</v>
      </c>
      <c r="G148">
        <v>0</v>
      </c>
      <c r="H148">
        <v>1</v>
      </c>
      <c r="I148">
        <v>4</v>
      </c>
      <c r="J148">
        <v>-8.4</v>
      </c>
      <c r="K148" s="2">
        <v>0</v>
      </c>
    </row>
    <row r="149" spans="1:11" x14ac:dyDescent="0.25">
      <c r="A149">
        <v>40470410</v>
      </c>
      <c r="B149" t="s">
        <v>192</v>
      </c>
      <c r="C149" t="s">
        <v>10</v>
      </c>
      <c r="D149" t="s">
        <v>47</v>
      </c>
      <c r="E149" t="s">
        <v>314</v>
      </c>
      <c r="F149" s="3">
        <v>3200</v>
      </c>
      <c r="G149">
        <v>0.5</v>
      </c>
      <c r="H149">
        <v>5.2</v>
      </c>
      <c r="I149">
        <v>11.9</v>
      </c>
      <c r="J149">
        <v>-4.2</v>
      </c>
      <c r="K149" s="2">
        <v>4.0000000000000001E-3</v>
      </c>
    </row>
    <row r="150" spans="1:11" x14ac:dyDescent="0.25">
      <c r="A150">
        <v>40470412</v>
      </c>
      <c r="B150" t="s">
        <v>201</v>
      </c>
      <c r="C150" t="s">
        <v>10</v>
      </c>
      <c r="D150" t="s">
        <v>33</v>
      </c>
      <c r="E150" t="s">
        <v>316</v>
      </c>
      <c r="F150" s="3">
        <v>3100</v>
      </c>
      <c r="G150">
        <v>0</v>
      </c>
      <c r="H150">
        <v>3.1</v>
      </c>
      <c r="I150">
        <v>8</v>
      </c>
      <c r="J150">
        <v>-6.1</v>
      </c>
      <c r="K150" s="2">
        <v>0</v>
      </c>
    </row>
    <row r="151" spans="1:11" x14ac:dyDescent="0.25">
      <c r="A151">
        <v>40470414</v>
      </c>
      <c r="B151" t="s">
        <v>202</v>
      </c>
      <c r="C151" t="s">
        <v>10</v>
      </c>
      <c r="D151" t="s">
        <v>14</v>
      </c>
      <c r="E151" t="s">
        <v>315</v>
      </c>
      <c r="F151" s="3">
        <v>3100</v>
      </c>
      <c r="G151">
        <v>0</v>
      </c>
      <c r="H151">
        <v>2.9</v>
      </c>
      <c r="I151">
        <v>8.1</v>
      </c>
      <c r="J151">
        <v>-6.3</v>
      </c>
      <c r="K151" s="2">
        <v>0</v>
      </c>
    </row>
    <row r="152" spans="1:11" x14ac:dyDescent="0.25">
      <c r="A152">
        <v>40470418</v>
      </c>
      <c r="B152" t="s">
        <v>199</v>
      </c>
      <c r="C152" t="s">
        <v>10</v>
      </c>
      <c r="D152" t="s">
        <v>47</v>
      </c>
      <c r="E152" t="s">
        <v>314</v>
      </c>
      <c r="F152" s="3">
        <v>3100</v>
      </c>
      <c r="G152">
        <v>0.5</v>
      </c>
      <c r="H152">
        <v>4.8</v>
      </c>
      <c r="I152">
        <v>10.8</v>
      </c>
      <c r="J152">
        <v>-4.4000000000000004</v>
      </c>
      <c r="K152" s="2">
        <v>2E-3</v>
      </c>
    </row>
    <row r="153" spans="1:11" x14ac:dyDescent="0.25">
      <c r="A153">
        <v>40470420</v>
      </c>
      <c r="B153" t="s">
        <v>200</v>
      </c>
      <c r="C153" t="s">
        <v>10</v>
      </c>
      <c r="D153" t="s">
        <v>7</v>
      </c>
      <c r="E153" t="s">
        <v>318</v>
      </c>
      <c r="F153" s="3">
        <v>3100</v>
      </c>
      <c r="G153">
        <v>0</v>
      </c>
      <c r="H153">
        <v>3.7</v>
      </c>
      <c r="I153">
        <v>10.1</v>
      </c>
      <c r="J153">
        <v>-5.4</v>
      </c>
      <c r="K153" s="2">
        <v>0</v>
      </c>
    </row>
    <row r="154" spans="1:11" x14ac:dyDescent="0.25">
      <c r="A154">
        <v>40470424</v>
      </c>
      <c r="B154" t="s">
        <v>205</v>
      </c>
      <c r="C154" t="s">
        <v>10</v>
      </c>
      <c r="D154" t="s">
        <v>9</v>
      </c>
      <c r="E154" t="s">
        <v>21</v>
      </c>
      <c r="F154" s="3">
        <v>3000</v>
      </c>
      <c r="G154">
        <v>0</v>
      </c>
      <c r="H154">
        <v>1.6</v>
      </c>
      <c r="I154">
        <v>5.5</v>
      </c>
      <c r="J154">
        <v>-7.3</v>
      </c>
      <c r="K154" s="2">
        <v>0</v>
      </c>
    </row>
    <row r="155" spans="1:11" x14ac:dyDescent="0.25">
      <c r="A155">
        <v>40470426</v>
      </c>
      <c r="B155" t="s">
        <v>206</v>
      </c>
      <c r="C155" t="s">
        <v>10</v>
      </c>
      <c r="D155" t="s">
        <v>9</v>
      </c>
      <c r="E155" t="s">
        <v>21</v>
      </c>
      <c r="F155" s="3">
        <v>3000</v>
      </c>
      <c r="G155">
        <v>0</v>
      </c>
      <c r="H155">
        <v>0.3</v>
      </c>
      <c r="I155">
        <v>1.2</v>
      </c>
      <c r="J155">
        <v>-8.6999999999999993</v>
      </c>
      <c r="K155" s="2">
        <v>0</v>
      </c>
    </row>
    <row r="156" spans="1:11" x14ac:dyDescent="0.25">
      <c r="A156">
        <v>40470434</v>
      </c>
      <c r="B156" t="s">
        <v>428</v>
      </c>
      <c r="C156" t="s">
        <v>10</v>
      </c>
      <c r="D156" t="s">
        <v>9</v>
      </c>
      <c r="E156" t="s">
        <v>21</v>
      </c>
      <c r="F156" s="3">
        <v>3000</v>
      </c>
      <c r="G156">
        <v>0</v>
      </c>
      <c r="H156">
        <v>0.1</v>
      </c>
      <c r="I156">
        <v>0.6</v>
      </c>
      <c r="J156">
        <v>-8.8000000000000007</v>
      </c>
      <c r="K156" s="2">
        <v>0</v>
      </c>
    </row>
    <row r="157" spans="1:11" x14ac:dyDescent="0.25">
      <c r="A157">
        <v>40470438</v>
      </c>
      <c r="B157" t="s">
        <v>211</v>
      </c>
      <c r="C157" t="s">
        <v>10</v>
      </c>
      <c r="D157" t="s">
        <v>19</v>
      </c>
      <c r="E157" t="s">
        <v>320</v>
      </c>
      <c r="F157" s="3">
        <v>3000</v>
      </c>
      <c r="G157">
        <v>0.4</v>
      </c>
      <c r="H157">
        <v>5.3</v>
      </c>
      <c r="I157">
        <v>12.6</v>
      </c>
      <c r="J157">
        <v>-3.7</v>
      </c>
      <c r="K157" s="2">
        <v>2E-3</v>
      </c>
    </row>
    <row r="158" spans="1:11" x14ac:dyDescent="0.25">
      <c r="A158">
        <v>40470444</v>
      </c>
      <c r="B158" t="s">
        <v>215</v>
      </c>
      <c r="C158" t="s">
        <v>10</v>
      </c>
      <c r="D158" t="s">
        <v>22</v>
      </c>
      <c r="E158" t="s">
        <v>7</v>
      </c>
      <c r="F158" s="3">
        <v>3000</v>
      </c>
      <c r="G158">
        <v>0.1</v>
      </c>
      <c r="H158">
        <v>4.2</v>
      </c>
      <c r="I158">
        <v>10.6</v>
      </c>
      <c r="J158">
        <v>-4.7</v>
      </c>
      <c r="K158" s="2">
        <v>1E-3</v>
      </c>
    </row>
    <row r="159" spans="1:11" x14ac:dyDescent="0.25">
      <c r="A159">
        <v>40470452</v>
      </c>
      <c r="B159" t="s">
        <v>429</v>
      </c>
      <c r="C159" t="s">
        <v>10</v>
      </c>
      <c r="D159" t="s">
        <v>22</v>
      </c>
      <c r="E159" t="s">
        <v>7</v>
      </c>
      <c r="F159" s="3">
        <v>3000</v>
      </c>
      <c r="G159">
        <v>0</v>
      </c>
      <c r="H159">
        <v>0.3</v>
      </c>
      <c r="I159">
        <v>0</v>
      </c>
      <c r="J159">
        <v>-8.6999999999999993</v>
      </c>
      <c r="K159" s="2">
        <v>0</v>
      </c>
    </row>
    <row r="160" spans="1:11" x14ac:dyDescent="0.25">
      <c r="A160">
        <v>40470466</v>
      </c>
      <c r="B160" t="s">
        <v>214</v>
      </c>
      <c r="C160" t="s">
        <v>10</v>
      </c>
      <c r="D160" t="s">
        <v>12</v>
      </c>
      <c r="E160" t="s">
        <v>47</v>
      </c>
      <c r="F160" s="3">
        <v>3000</v>
      </c>
      <c r="G160">
        <v>0</v>
      </c>
      <c r="H160">
        <v>0.3</v>
      </c>
      <c r="I160">
        <v>1.3</v>
      </c>
      <c r="J160">
        <v>-8.6999999999999993</v>
      </c>
      <c r="K160" s="2">
        <v>0</v>
      </c>
    </row>
    <row r="161" spans="1:11" x14ac:dyDescent="0.25">
      <c r="A161">
        <v>40470476</v>
      </c>
      <c r="B161" t="s">
        <v>220</v>
      </c>
      <c r="C161" t="s">
        <v>10</v>
      </c>
      <c r="D161" t="s">
        <v>33</v>
      </c>
      <c r="E161" t="s">
        <v>316</v>
      </c>
      <c r="F161" s="3">
        <v>3000</v>
      </c>
      <c r="G161">
        <v>0</v>
      </c>
      <c r="H161">
        <v>0.7</v>
      </c>
      <c r="I161">
        <v>2.7</v>
      </c>
      <c r="J161">
        <v>-8.3000000000000007</v>
      </c>
      <c r="K161" s="2">
        <v>0</v>
      </c>
    </row>
    <row r="162" spans="1:11" x14ac:dyDescent="0.25">
      <c r="A162">
        <v>40470478</v>
      </c>
      <c r="B162" t="s">
        <v>221</v>
      </c>
      <c r="C162" t="s">
        <v>10</v>
      </c>
      <c r="D162" t="s">
        <v>33</v>
      </c>
      <c r="E162" t="s">
        <v>316</v>
      </c>
      <c r="F162" s="3">
        <v>3000</v>
      </c>
      <c r="G162">
        <v>0</v>
      </c>
      <c r="H162">
        <v>0.5</v>
      </c>
      <c r="I162">
        <v>1.9</v>
      </c>
      <c r="J162">
        <v>-8.5</v>
      </c>
      <c r="K162" s="2">
        <v>0</v>
      </c>
    </row>
    <row r="163" spans="1:11" x14ac:dyDescent="0.25">
      <c r="A163">
        <v>40470490</v>
      </c>
      <c r="B163" t="s">
        <v>231</v>
      </c>
      <c r="C163" t="s">
        <v>10</v>
      </c>
      <c r="D163" t="s">
        <v>14</v>
      </c>
      <c r="E163" t="s">
        <v>315</v>
      </c>
      <c r="F163" s="3">
        <v>3000</v>
      </c>
      <c r="G163">
        <v>0</v>
      </c>
      <c r="H163">
        <v>0.3</v>
      </c>
      <c r="I163">
        <v>1.3</v>
      </c>
      <c r="J163">
        <v>-8.6999999999999993</v>
      </c>
      <c r="K163" s="2">
        <v>0</v>
      </c>
    </row>
    <row r="164" spans="1:11" x14ac:dyDescent="0.25">
      <c r="A164">
        <v>40470500</v>
      </c>
      <c r="B164" t="s">
        <v>232</v>
      </c>
      <c r="C164" t="s">
        <v>10</v>
      </c>
      <c r="D164" t="s">
        <v>45</v>
      </c>
      <c r="E164" t="s">
        <v>14</v>
      </c>
      <c r="F164" s="3">
        <v>3000</v>
      </c>
      <c r="G164">
        <v>0</v>
      </c>
      <c r="H164">
        <v>3.8</v>
      </c>
      <c r="I164">
        <v>9.9</v>
      </c>
      <c r="J164">
        <v>-5.0999999999999996</v>
      </c>
      <c r="K164" s="2">
        <v>0</v>
      </c>
    </row>
    <row r="165" spans="1:11" x14ac:dyDescent="0.25">
      <c r="A165">
        <v>40470502</v>
      </c>
      <c r="B165" t="s">
        <v>233</v>
      </c>
      <c r="C165" t="s">
        <v>10</v>
      </c>
      <c r="D165" t="s">
        <v>45</v>
      </c>
      <c r="E165" t="s">
        <v>14</v>
      </c>
      <c r="F165" s="3">
        <v>3000</v>
      </c>
      <c r="G165">
        <v>0</v>
      </c>
      <c r="H165">
        <v>0.6</v>
      </c>
      <c r="I165">
        <v>2.6</v>
      </c>
      <c r="J165">
        <v>-8.3000000000000007</v>
      </c>
      <c r="K165" s="2">
        <v>0</v>
      </c>
    </row>
    <row r="166" spans="1:11" x14ac:dyDescent="0.25">
      <c r="A166">
        <v>40470512</v>
      </c>
      <c r="B166" t="s">
        <v>234</v>
      </c>
      <c r="C166" t="s">
        <v>10</v>
      </c>
      <c r="D166" t="s">
        <v>76</v>
      </c>
      <c r="E166" t="s">
        <v>311</v>
      </c>
      <c r="F166" s="3">
        <v>3000</v>
      </c>
      <c r="G166">
        <v>0</v>
      </c>
      <c r="H166">
        <v>1.3</v>
      </c>
      <c r="I166">
        <v>4.4000000000000004</v>
      </c>
      <c r="J166">
        <v>-7.7</v>
      </c>
      <c r="K166" s="2">
        <v>0</v>
      </c>
    </row>
    <row r="167" spans="1:11" x14ac:dyDescent="0.25">
      <c r="A167">
        <v>40470518</v>
      </c>
      <c r="B167" t="s">
        <v>235</v>
      </c>
      <c r="C167" t="s">
        <v>10</v>
      </c>
      <c r="D167" t="s">
        <v>5</v>
      </c>
      <c r="E167" t="s">
        <v>76</v>
      </c>
      <c r="F167" s="3">
        <v>3000</v>
      </c>
      <c r="G167">
        <v>0</v>
      </c>
      <c r="H167">
        <v>1.9</v>
      </c>
      <c r="I167">
        <v>6.3</v>
      </c>
      <c r="J167">
        <v>-7.1</v>
      </c>
      <c r="K167" s="2">
        <v>0</v>
      </c>
    </row>
    <row r="168" spans="1:11" x14ac:dyDescent="0.25">
      <c r="A168">
        <v>40470520</v>
      </c>
      <c r="B168" t="s">
        <v>236</v>
      </c>
      <c r="C168" t="s">
        <v>10</v>
      </c>
      <c r="D168" t="s">
        <v>5</v>
      </c>
      <c r="E168" t="s">
        <v>76</v>
      </c>
      <c r="F168" s="3">
        <v>3000</v>
      </c>
      <c r="G168">
        <v>0</v>
      </c>
      <c r="H168">
        <v>0.3</v>
      </c>
      <c r="I168">
        <v>1.2</v>
      </c>
      <c r="J168">
        <v>-8.6999999999999993</v>
      </c>
      <c r="K168" s="2">
        <v>0</v>
      </c>
    </row>
    <row r="169" spans="1:11" x14ac:dyDescent="0.25">
      <c r="A169">
        <v>40470528</v>
      </c>
      <c r="B169" t="s">
        <v>207</v>
      </c>
      <c r="C169" t="s">
        <v>10</v>
      </c>
      <c r="D169" t="s">
        <v>21</v>
      </c>
      <c r="E169" t="s">
        <v>313</v>
      </c>
      <c r="F169" s="3">
        <v>3000</v>
      </c>
      <c r="G169">
        <v>0.6</v>
      </c>
      <c r="H169">
        <v>5.7</v>
      </c>
      <c r="I169">
        <v>13</v>
      </c>
      <c r="J169">
        <v>-3.2</v>
      </c>
      <c r="K169" s="2">
        <v>2E-3</v>
      </c>
    </row>
    <row r="170" spans="1:11" x14ac:dyDescent="0.25">
      <c r="A170">
        <v>40470530</v>
      </c>
      <c r="B170" t="s">
        <v>208</v>
      </c>
      <c r="C170" t="s">
        <v>10</v>
      </c>
      <c r="D170" t="s">
        <v>21</v>
      </c>
      <c r="E170" t="s">
        <v>313</v>
      </c>
      <c r="F170" s="3">
        <v>3000</v>
      </c>
      <c r="G170">
        <v>0</v>
      </c>
      <c r="H170">
        <v>2.4</v>
      </c>
      <c r="I170">
        <v>6.9</v>
      </c>
      <c r="J170">
        <v>-6.6</v>
      </c>
      <c r="K170" s="2">
        <v>1E-3</v>
      </c>
    </row>
    <row r="171" spans="1:11" x14ac:dyDescent="0.25">
      <c r="A171">
        <v>40470542</v>
      </c>
      <c r="B171" t="s">
        <v>222</v>
      </c>
      <c r="C171" t="s">
        <v>10</v>
      </c>
      <c r="D171" t="s">
        <v>43</v>
      </c>
      <c r="E171" t="s">
        <v>33</v>
      </c>
      <c r="F171" s="3">
        <v>3000</v>
      </c>
      <c r="G171">
        <v>0</v>
      </c>
      <c r="H171">
        <v>1.6</v>
      </c>
      <c r="I171">
        <v>5.6</v>
      </c>
      <c r="J171">
        <v>-7.4</v>
      </c>
      <c r="K171" s="2">
        <v>0</v>
      </c>
    </row>
    <row r="172" spans="1:11" x14ac:dyDescent="0.25">
      <c r="A172">
        <v>40470544</v>
      </c>
      <c r="B172" t="s">
        <v>223</v>
      </c>
      <c r="C172" t="s">
        <v>10</v>
      </c>
      <c r="D172" t="s">
        <v>43</v>
      </c>
      <c r="E172" t="s">
        <v>33</v>
      </c>
      <c r="F172" s="3">
        <v>3000</v>
      </c>
      <c r="G172">
        <v>0</v>
      </c>
      <c r="H172">
        <v>0.1</v>
      </c>
      <c r="I172">
        <v>0.6</v>
      </c>
      <c r="J172">
        <v>-8.8000000000000007</v>
      </c>
      <c r="K172" s="2">
        <v>0</v>
      </c>
    </row>
    <row r="173" spans="1:11" x14ac:dyDescent="0.25">
      <c r="A173">
        <v>40470550</v>
      </c>
      <c r="B173" t="s">
        <v>229</v>
      </c>
      <c r="C173" t="s">
        <v>10</v>
      </c>
      <c r="D173" t="s">
        <v>57</v>
      </c>
      <c r="E173" t="s">
        <v>25</v>
      </c>
      <c r="F173" s="3">
        <v>3000</v>
      </c>
      <c r="G173">
        <v>0</v>
      </c>
      <c r="H173">
        <v>1.1000000000000001</v>
      </c>
      <c r="I173">
        <v>3.9</v>
      </c>
      <c r="J173">
        <v>-7.9</v>
      </c>
      <c r="K173" s="2">
        <v>0</v>
      </c>
    </row>
    <row r="174" spans="1:11" x14ac:dyDescent="0.25">
      <c r="A174">
        <v>40470552</v>
      </c>
      <c r="B174" t="s">
        <v>230</v>
      </c>
      <c r="C174" t="s">
        <v>10</v>
      </c>
      <c r="D174" t="s">
        <v>57</v>
      </c>
      <c r="E174" t="s">
        <v>25</v>
      </c>
      <c r="F174" s="3">
        <v>3000</v>
      </c>
      <c r="G174">
        <v>0</v>
      </c>
      <c r="H174">
        <v>0.3</v>
      </c>
      <c r="I174">
        <v>1.1000000000000001</v>
      </c>
      <c r="J174">
        <v>-8.6999999999999993</v>
      </c>
      <c r="K174" s="2">
        <v>0</v>
      </c>
    </row>
    <row r="175" spans="1:11" x14ac:dyDescent="0.25">
      <c r="A175">
        <v>40470566</v>
      </c>
      <c r="B175" t="s">
        <v>224</v>
      </c>
      <c r="C175" t="s">
        <v>10</v>
      </c>
      <c r="D175" t="s">
        <v>31</v>
      </c>
      <c r="E175" t="s">
        <v>312</v>
      </c>
      <c r="F175" s="3">
        <v>3000</v>
      </c>
      <c r="G175">
        <v>0</v>
      </c>
      <c r="H175">
        <v>3</v>
      </c>
      <c r="I175">
        <v>8</v>
      </c>
      <c r="J175">
        <v>-5.9</v>
      </c>
      <c r="K175" s="2">
        <v>1E-3</v>
      </c>
    </row>
    <row r="176" spans="1:11" x14ac:dyDescent="0.25">
      <c r="A176">
        <v>40470568</v>
      </c>
      <c r="B176" t="s">
        <v>225</v>
      </c>
      <c r="C176" t="s">
        <v>10</v>
      </c>
      <c r="D176" t="s">
        <v>31</v>
      </c>
      <c r="E176" t="s">
        <v>312</v>
      </c>
      <c r="F176" s="3">
        <v>3000</v>
      </c>
      <c r="G176">
        <v>0</v>
      </c>
      <c r="H176">
        <v>0.1</v>
      </c>
      <c r="I176">
        <v>0.5</v>
      </c>
      <c r="J176">
        <v>-8.8000000000000007</v>
      </c>
      <c r="K176" s="2">
        <v>0</v>
      </c>
    </row>
    <row r="177" spans="1:11" x14ac:dyDescent="0.25">
      <c r="A177">
        <v>40470584</v>
      </c>
      <c r="B177" t="s">
        <v>425</v>
      </c>
      <c r="C177" t="s">
        <v>10</v>
      </c>
      <c r="D177" t="s">
        <v>47</v>
      </c>
      <c r="E177" t="s">
        <v>314</v>
      </c>
      <c r="F177" s="3">
        <v>3000</v>
      </c>
      <c r="G177">
        <v>0</v>
      </c>
      <c r="H177">
        <v>0.4</v>
      </c>
      <c r="I177">
        <v>1.7</v>
      </c>
      <c r="J177">
        <v>-8.6</v>
      </c>
      <c r="K177" s="2">
        <v>0</v>
      </c>
    </row>
    <row r="178" spans="1:11" x14ac:dyDescent="0.25">
      <c r="A178">
        <v>40470590</v>
      </c>
      <c r="B178" t="s">
        <v>426</v>
      </c>
      <c r="C178" t="s">
        <v>10</v>
      </c>
      <c r="D178" t="s">
        <v>47</v>
      </c>
      <c r="E178" t="s">
        <v>314</v>
      </c>
      <c r="F178" s="3">
        <v>3000</v>
      </c>
      <c r="G178">
        <v>0</v>
      </c>
      <c r="H178">
        <v>0.4</v>
      </c>
      <c r="I178">
        <v>1.6</v>
      </c>
      <c r="J178">
        <v>-8.6</v>
      </c>
      <c r="K178" s="2">
        <v>0</v>
      </c>
    </row>
    <row r="179" spans="1:11" x14ac:dyDescent="0.25">
      <c r="A179">
        <v>40470596</v>
      </c>
      <c r="B179" t="s">
        <v>226</v>
      </c>
      <c r="C179" t="s">
        <v>10</v>
      </c>
      <c r="D179" t="s">
        <v>16</v>
      </c>
      <c r="E179" t="s">
        <v>31</v>
      </c>
      <c r="F179" s="3">
        <v>3000</v>
      </c>
      <c r="G179">
        <v>0.7</v>
      </c>
      <c r="H179">
        <v>6.2</v>
      </c>
      <c r="I179">
        <v>14.2</v>
      </c>
      <c r="J179">
        <v>-2.8</v>
      </c>
      <c r="K179" s="2">
        <v>0.01</v>
      </c>
    </row>
    <row r="180" spans="1:11" x14ac:dyDescent="0.25">
      <c r="A180">
        <v>40470598</v>
      </c>
      <c r="B180" t="s">
        <v>227</v>
      </c>
      <c r="C180" t="s">
        <v>10</v>
      </c>
      <c r="D180" t="s">
        <v>16</v>
      </c>
      <c r="E180" t="s">
        <v>31</v>
      </c>
      <c r="F180" s="3">
        <v>3000</v>
      </c>
      <c r="G180">
        <v>0</v>
      </c>
      <c r="H180">
        <v>1.5</v>
      </c>
      <c r="I180">
        <v>6.1</v>
      </c>
      <c r="J180">
        <v>-7.5</v>
      </c>
      <c r="K180" s="2">
        <v>5.0000000000000001E-3</v>
      </c>
    </row>
    <row r="181" spans="1:11" x14ac:dyDescent="0.25">
      <c r="A181">
        <v>40470600</v>
      </c>
      <c r="B181" t="s">
        <v>228</v>
      </c>
      <c r="C181" t="s">
        <v>10</v>
      </c>
      <c r="D181" t="s">
        <v>16</v>
      </c>
      <c r="E181" t="s">
        <v>31</v>
      </c>
      <c r="F181" s="3">
        <v>3000</v>
      </c>
      <c r="G181">
        <v>0</v>
      </c>
      <c r="H181">
        <v>0.7</v>
      </c>
      <c r="I181">
        <v>0</v>
      </c>
      <c r="J181">
        <v>-8.1999999999999993</v>
      </c>
      <c r="K181" s="2">
        <v>0</v>
      </c>
    </row>
    <row r="182" spans="1:11" x14ac:dyDescent="0.25">
      <c r="A182">
        <v>40470612</v>
      </c>
      <c r="B182" t="s">
        <v>216</v>
      </c>
      <c r="C182" t="s">
        <v>10</v>
      </c>
      <c r="D182" t="s">
        <v>7</v>
      </c>
      <c r="E182" t="s">
        <v>318</v>
      </c>
      <c r="F182" s="3">
        <v>3000</v>
      </c>
      <c r="G182">
        <v>0</v>
      </c>
      <c r="H182">
        <v>0.4</v>
      </c>
      <c r="I182">
        <v>1.8</v>
      </c>
      <c r="J182">
        <v>-8.6</v>
      </c>
      <c r="K182" s="2">
        <v>0</v>
      </c>
    </row>
    <row r="183" spans="1:11" x14ac:dyDescent="0.25">
      <c r="A183">
        <v>40470616</v>
      </c>
      <c r="B183" t="s">
        <v>217</v>
      </c>
      <c r="C183" t="s">
        <v>10</v>
      </c>
      <c r="D183" t="s">
        <v>7</v>
      </c>
      <c r="E183" t="s">
        <v>318</v>
      </c>
      <c r="F183" s="3">
        <v>3000</v>
      </c>
      <c r="G183">
        <v>0</v>
      </c>
      <c r="H183">
        <v>0.5</v>
      </c>
      <c r="I183">
        <v>2.1</v>
      </c>
      <c r="J183">
        <v>-8.4</v>
      </c>
      <c r="K183" s="2">
        <v>0</v>
      </c>
    </row>
    <row r="184" spans="1:11" x14ac:dyDescent="0.25">
      <c r="A184">
        <v>40470632</v>
      </c>
      <c r="B184" t="s">
        <v>212</v>
      </c>
      <c r="C184" t="s">
        <v>10</v>
      </c>
      <c r="D184" t="s">
        <v>41</v>
      </c>
      <c r="E184" t="s">
        <v>19</v>
      </c>
      <c r="F184" s="3">
        <v>3000</v>
      </c>
      <c r="G184">
        <v>0</v>
      </c>
      <c r="H184">
        <v>0.8</v>
      </c>
      <c r="I184">
        <v>3.1</v>
      </c>
      <c r="J184">
        <v>-8.1999999999999993</v>
      </c>
      <c r="K184" s="2">
        <v>0</v>
      </c>
    </row>
    <row r="185" spans="1:11" x14ac:dyDescent="0.25">
      <c r="A185">
        <v>40470634</v>
      </c>
      <c r="B185" t="s">
        <v>213</v>
      </c>
      <c r="C185" t="s">
        <v>10</v>
      </c>
      <c r="D185" t="s">
        <v>41</v>
      </c>
      <c r="E185" t="s">
        <v>19</v>
      </c>
      <c r="F185" s="3">
        <v>3000</v>
      </c>
      <c r="G185">
        <v>0</v>
      </c>
      <c r="H185">
        <v>2.8</v>
      </c>
      <c r="I185">
        <v>7.6</v>
      </c>
      <c r="J185">
        <v>-6.1</v>
      </c>
      <c r="K185" s="2">
        <v>0</v>
      </c>
    </row>
    <row r="186" spans="1:11" x14ac:dyDescent="0.25">
      <c r="A186">
        <v>40470644</v>
      </c>
      <c r="B186" t="s">
        <v>209</v>
      </c>
      <c r="C186" t="s">
        <v>10</v>
      </c>
      <c r="D186" t="s">
        <v>26</v>
      </c>
      <c r="E186" t="s">
        <v>39</v>
      </c>
      <c r="F186" s="3">
        <v>3000</v>
      </c>
      <c r="G186">
        <v>0</v>
      </c>
      <c r="H186">
        <v>0.8</v>
      </c>
      <c r="I186">
        <v>3.3</v>
      </c>
      <c r="J186">
        <v>-8.1</v>
      </c>
      <c r="K186" s="2">
        <v>0</v>
      </c>
    </row>
    <row r="187" spans="1:11" x14ac:dyDescent="0.25">
      <c r="A187">
        <v>40470656</v>
      </c>
      <c r="B187" t="s">
        <v>52</v>
      </c>
      <c r="C187" t="s">
        <v>51</v>
      </c>
      <c r="D187" t="s">
        <v>14</v>
      </c>
      <c r="E187" t="s">
        <v>315</v>
      </c>
      <c r="F187" s="3">
        <v>6000</v>
      </c>
      <c r="G187">
        <v>3.7</v>
      </c>
      <c r="H187">
        <v>10.8</v>
      </c>
      <c r="I187">
        <v>19.5</v>
      </c>
      <c r="J187">
        <v>-4.0999999999999996</v>
      </c>
      <c r="K187" s="2">
        <v>1.4E-2</v>
      </c>
    </row>
    <row r="188" spans="1:11" x14ac:dyDescent="0.25">
      <c r="A188">
        <v>40470658</v>
      </c>
      <c r="B188" t="s">
        <v>67</v>
      </c>
      <c r="C188" t="s">
        <v>51</v>
      </c>
      <c r="D188" t="s">
        <v>5</v>
      </c>
      <c r="E188" t="s">
        <v>76</v>
      </c>
      <c r="F188" s="3">
        <v>5500</v>
      </c>
      <c r="G188">
        <v>5.0999999999999996</v>
      </c>
      <c r="H188">
        <v>14.4</v>
      </c>
      <c r="I188">
        <v>26.3</v>
      </c>
      <c r="J188">
        <v>0.5</v>
      </c>
      <c r="K188" s="2">
        <v>0.12</v>
      </c>
    </row>
    <row r="189" spans="1:11" x14ac:dyDescent="0.25">
      <c r="A189">
        <v>40470660</v>
      </c>
      <c r="B189" t="s">
        <v>101</v>
      </c>
      <c r="C189" t="s">
        <v>51</v>
      </c>
      <c r="D189" t="s">
        <v>7</v>
      </c>
      <c r="E189" t="s">
        <v>318</v>
      </c>
      <c r="F189" s="3">
        <v>4500</v>
      </c>
      <c r="G189">
        <v>4.0999999999999996</v>
      </c>
      <c r="H189">
        <v>12.8</v>
      </c>
      <c r="I189">
        <v>23.8</v>
      </c>
      <c r="J189">
        <v>0.8</v>
      </c>
      <c r="K189" s="2">
        <v>0.10299999999999999</v>
      </c>
    </row>
    <row r="190" spans="1:11" x14ac:dyDescent="0.25">
      <c r="A190">
        <v>40470662</v>
      </c>
      <c r="B190" t="s">
        <v>107</v>
      </c>
      <c r="C190" t="s">
        <v>51</v>
      </c>
      <c r="D190" t="s">
        <v>33</v>
      </c>
      <c r="E190" t="s">
        <v>316</v>
      </c>
      <c r="F190" s="3">
        <v>4400</v>
      </c>
      <c r="G190">
        <v>2.6</v>
      </c>
      <c r="H190">
        <v>8.6</v>
      </c>
      <c r="I190">
        <v>16.100000000000001</v>
      </c>
      <c r="J190">
        <v>-3.1</v>
      </c>
      <c r="K190" s="2">
        <v>0.01</v>
      </c>
    </row>
    <row r="191" spans="1:11" x14ac:dyDescent="0.25">
      <c r="A191">
        <v>40470664</v>
      </c>
      <c r="B191" t="s">
        <v>111</v>
      </c>
      <c r="C191" t="s">
        <v>51</v>
      </c>
      <c r="D191" t="s">
        <v>19</v>
      </c>
      <c r="E191" t="s">
        <v>320</v>
      </c>
      <c r="F191" s="3">
        <v>4300</v>
      </c>
      <c r="G191">
        <v>2.4</v>
      </c>
      <c r="H191">
        <v>9.1999999999999993</v>
      </c>
      <c r="I191">
        <v>18.100000000000001</v>
      </c>
      <c r="J191">
        <v>-2.2999999999999998</v>
      </c>
      <c r="K191" s="2">
        <v>3.4000000000000002E-2</v>
      </c>
    </row>
    <row r="192" spans="1:11" x14ac:dyDescent="0.25">
      <c r="A192">
        <v>40470666</v>
      </c>
      <c r="B192" t="s">
        <v>118</v>
      </c>
      <c r="C192" t="s">
        <v>51</v>
      </c>
      <c r="D192" t="s">
        <v>16</v>
      </c>
      <c r="E192" t="s">
        <v>31</v>
      </c>
      <c r="F192" s="3">
        <v>4200</v>
      </c>
      <c r="G192">
        <v>5</v>
      </c>
      <c r="H192">
        <v>13.7</v>
      </c>
      <c r="I192">
        <v>24.6</v>
      </c>
      <c r="J192">
        <v>2.2999999999999998</v>
      </c>
      <c r="K192" s="2">
        <v>0.19600000000000001</v>
      </c>
    </row>
    <row r="193" spans="1:11" x14ac:dyDescent="0.25">
      <c r="A193">
        <v>40470668</v>
      </c>
      <c r="B193" t="s">
        <v>124</v>
      </c>
      <c r="C193" t="s">
        <v>51</v>
      </c>
      <c r="D193" t="s">
        <v>45</v>
      </c>
      <c r="E193" t="s">
        <v>14</v>
      </c>
      <c r="F193" s="3">
        <v>4100</v>
      </c>
      <c r="G193">
        <v>2.9</v>
      </c>
      <c r="H193">
        <v>9.8000000000000007</v>
      </c>
      <c r="I193">
        <v>18.8</v>
      </c>
      <c r="J193">
        <v>-1.3</v>
      </c>
      <c r="K193" s="2">
        <v>0.02</v>
      </c>
    </row>
    <row r="194" spans="1:11" x14ac:dyDescent="0.25">
      <c r="A194">
        <v>40470672</v>
      </c>
      <c r="B194" t="s">
        <v>155</v>
      </c>
      <c r="C194" t="s">
        <v>51</v>
      </c>
      <c r="D194" t="s">
        <v>9</v>
      </c>
      <c r="E194" t="s">
        <v>21</v>
      </c>
      <c r="F194" s="3">
        <v>3900</v>
      </c>
      <c r="G194">
        <v>3.4</v>
      </c>
      <c r="H194">
        <v>10.8</v>
      </c>
      <c r="I194">
        <v>20.3</v>
      </c>
      <c r="J194">
        <v>0.1</v>
      </c>
      <c r="K194" s="2">
        <v>7.9000000000000001E-2</v>
      </c>
    </row>
    <row r="195" spans="1:11" x14ac:dyDescent="0.25">
      <c r="A195">
        <v>40470674</v>
      </c>
      <c r="B195" t="s">
        <v>161</v>
      </c>
      <c r="C195" t="s">
        <v>51</v>
      </c>
      <c r="D195" t="s">
        <v>43</v>
      </c>
      <c r="E195" t="s">
        <v>33</v>
      </c>
      <c r="F195" s="3">
        <v>3800</v>
      </c>
      <c r="G195">
        <v>2.4</v>
      </c>
      <c r="H195">
        <v>9.8000000000000007</v>
      </c>
      <c r="I195">
        <v>19.3</v>
      </c>
      <c r="J195">
        <v>-0.8</v>
      </c>
      <c r="K195" s="2">
        <v>3.5999999999999997E-2</v>
      </c>
    </row>
    <row r="196" spans="1:11" x14ac:dyDescent="0.25">
      <c r="A196">
        <v>40470676</v>
      </c>
      <c r="B196" t="s">
        <v>166</v>
      </c>
      <c r="C196" t="s">
        <v>51</v>
      </c>
      <c r="D196" t="s">
        <v>31</v>
      </c>
      <c r="E196" t="s">
        <v>312</v>
      </c>
      <c r="F196" s="3">
        <v>3700</v>
      </c>
      <c r="G196">
        <v>2.4</v>
      </c>
      <c r="H196">
        <v>8.9</v>
      </c>
      <c r="I196">
        <v>17.2</v>
      </c>
      <c r="J196">
        <v>-1.4</v>
      </c>
      <c r="K196" s="2">
        <v>2.8000000000000001E-2</v>
      </c>
    </row>
    <row r="197" spans="1:11" x14ac:dyDescent="0.25">
      <c r="A197">
        <v>40470678</v>
      </c>
      <c r="B197" t="s">
        <v>168</v>
      </c>
      <c r="C197" t="s">
        <v>51</v>
      </c>
      <c r="D197" t="s">
        <v>26</v>
      </c>
      <c r="E197" t="s">
        <v>39</v>
      </c>
      <c r="F197" s="3">
        <v>3600</v>
      </c>
      <c r="G197">
        <v>1.4</v>
      </c>
      <c r="H197">
        <v>7.3</v>
      </c>
      <c r="I197">
        <v>14.9</v>
      </c>
      <c r="J197">
        <v>-2.9</v>
      </c>
      <c r="K197" s="2">
        <v>0.02</v>
      </c>
    </row>
    <row r="198" spans="1:11" x14ac:dyDescent="0.25">
      <c r="A198">
        <v>40470680</v>
      </c>
      <c r="B198" t="s">
        <v>174</v>
      </c>
      <c r="C198" t="s">
        <v>51</v>
      </c>
      <c r="D198" t="s">
        <v>47</v>
      </c>
      <c r="E198" t="s">
        <v>314</v>
      </c>
      <c r="F198" s="3">
        <v>3500</v>
      </c>
      <c r="G198">
        <v>3.2</v>
      </c>
      <c r="H198">
        <v>10</v>
      </c>
      <c r="I198">
        <v>18.3</v>
      </c>
      <c r="J198">
        <v>0.1</v>
      </c>
      <c r="K198" s="2">
        <v>7.0000000000000007E-2</v>
      </c>
    </row>
    <row r="199" spans="1:11" x14ac:dyDescent="0.25">
      <c r="A199">
        <v>40470682</v>
      </c>
      <c r="B199" t="s">
        <v>178</v>
      </c>
      <c r="C199" t="s">
        <v>51</v>
      </c>
      <c r="D199" t="s">
        <v>33</v>
      </c>
      <c r="E199" t="s">
        <v>316</v>
      </c>
      <c r="F199" s="3">
        <v>3400</v>
      </c>
      <c r="G199">
        <v>1.8</v>
      </c>
      <c r="H199">
        <v>7.3</v>
      </c>
      <c r="I199">
        <v>14</v>
      </c>
      <c r="J199">
        <v>-2.5</v>
      </c>
      <c r="K199" s="2">
        <v>5.0000000000000001E-3</v>
      </c>
    </row>
    <row r="200" spans="1:11" x14ac:dyDescent="0.25">
      <c r="A200">
        <v>40470684</v>
      </c>
      <c r="B200" t="s">
        <v>179</v>
      </c>
      <c r="C200" t="s">
        <v>51</v>
      </c>
      <c r="D200" t="s">
        <v>25</v>
      </c>
      <c r="E200" t="s">
        <v>317</v>
      </c>
      <c r="F200" s="3">
        <v>3400</v>
      </c>
      <c r="G200">
        <v>3.2</v>
      </c>
      <c r="H200">
        <v>10.3</v>
      </c>
      <c r="I200">
        <v>19.600000000000001</v>
      </c>
      <c r="J200">
        <v>0.6</v>
      </c>
      <c r="K200" s="2">
        <v>0.114</v>
      </c>
    </row>
    <row r="201" spans="1:11" x14ac:dyDescent="0.25">
      <c r="A201">
        <v>40470686</v>
      </c>
      <c r="B201" t="s">
        <v>185</v>
      </c>
      <c r="C201" t="s">
        <v>51</v>
      </c>
      <c r="D201" t="s">
        <v>22</v>
      </c>
      <c r="E201" t="s">
        <v>7</v>
      </c>
      <c r="F201" s="3">
        <v>3300</v>
      </c>
      <c r="G201">
        <v>4</v>
      </c>
      <c r="H201">
        <v>11.9</v>
      </c>
      <c r="I201">
        <v>21.9</v>
      </c>
      <c r="J201">
        <v>2.2999999999999998</v>
      </c>
      <c r="K201" s="2">
        <v>0.23899999999999999</v>
      </c>
    </row>
    <row r="202" spans="1:11" x14ac:dyDescent="0.25">
      <c r="A202">
        <v>40470688</v>
      </c>
      <c r="B202" t="s">
        <v>188</v>
      </c>
      <c r="C202" t="s">
        <v>51</v>
      </c>
      <c r="D202" t="s">
        <v>57</v>
      </c>
      <c r="E202" t="s">
        <v>25</v>
      </c>
      <c r="F202" s="3">
        <v>3300</v>
      </c>
      <c r="G202">
        <v>2.7</v>
      </c>
      <c r="H202">
        <v>9.1999999999999993</v>
      </c>
      <c r="I202">
        <v>17.399999999999999</v>
      </c>
      <c r="J202">
        <v>-0.3</v>
      </c>
      <c r="K202" s="2">
        <v>7.6999999999999999E-2</v>
      </c>
    </row>
    <row r="203" spans="1:11" x14ac:dyDescent="0.25">
      <c r="A203">
        <v>40470690</v>
      </c>
      <c r="B203" t="s">
        <v>193</v>
      </c>
      <c r="C203" t="s">
        <v>51</v>
      </c>
      <c r="D203" t="s">
        <v>12</v>
      </c>
      <c r="E203" t="s">
        <v>47</v>
      </c>
      <c r="F203" s="3">
        <v>3200</v>
      </c>
      <c r="G203">
        <v>1.5</v>
      </c>
      <c r="H203">
        <v>6.7</v>
      </c>
      <c r="I203">
        <v>13.6</v>
      </c>
      <c r="J203">
        <v>-2.6</v>
      </c>
      <c r="K203" s="2">
        <v>1.2E-2</v>
      </c>
    </row>
    <row r="204" spans="1:11" x14ac:dyDescent="0.25">
      <c r="A204">
        <v>40470692</v>
      </c>
      <c r="B204" t="s">
        <v>198</v>
      </c>
      <c r="C204" t="s">
        <v>51</v>
      </c>
      <c r="D204" t="s">
        <v>76</v>
      </c>
      <c r="E204" t="s">
        <v>311</v>
      </c>
      <c r="F204" s="3">
        <v>3200</v>
      </c>
      <c r="G204">
        <v>1.8</v>
      </c>
      <c r="H204">
        <v>7.3</v>
      </c>
      <c r="I204">
        <v>14.2</v>
      </c>
      <c r="J204">
        <v>-2.1</v>
      </c>
      <c r="K204" s="2">
        <v>0.01</v>
      </c>
    </row>
    <row r="205" spans="1:11" x14ac:dyDescent="0.25">
      <c r="A205">
        <v>40470696</v>
      </c>
      <c r="B205" t="s">
        <v>204</v>
      </c>
      <c r="C205" t="s">
        <v>51</v>
      </c>
      <c r="D205" t="s">
        <v>76</v>
      </c>
      <c r="E205" t="s">
        <v>311</v>
      </c>
      <c r="F205" s="3">
        <v>3100</v>
      </c>
      <c r="G205">
        <v>1</v>
      </c>
      <c r="H205">
        <v>5.7</v>
      </c>
      <c r="I205">
        <v>12</v>
      </c>
      <c r="J205">
        <v>-3.5</v>
      </c>
      <c r="K205" s="2">
        <v>4.0000000000000001E-3</v>
      </c>
    </row>
    <row r="206" spans="1:11" x14ac:dyDescent="0.25">
      <c r="A206">
        <v>40470698</v>
      </c>
      <c r="B206" t="s">
        <v>210</v>
      </c>
      <c r="C206" t="s">
        <v>51</v>
      </c>
      <c r="D206" t="s">
        <v>39</v>
      </c>
      <c r="E206" t="s">
        <v>319</v>
      </c>
      <c r="F206" s="3">
        <v>3000</v>
      </c>
      <c r="G206">
        <v>1.8</v>
      </c>
      <c r="H206">
        <v>7.8</v>
      </c>
      <c r="I206">
        <v>15.5</v>
      </c>
      <c r="J206">
        <v>-1.2</v>
      </c>
      <c r="K206" s="2">
        <v>2.1999999999999999E-2</v>
      </c>
    </row>
    <row r="207" spans="1:11" x14ac:dyDescent="0.25">
      <c r="A207">
        <v>40470700</v>
      </c>
      <c r="B207" t="s">
        <v>218</v>
      </c>
      <c r="C207" t="s">
        <v>51</v>
      </c>
      <c r="D207" t="s">
        <v>7</v>
      </c>
      <c r="E207" t="s">
        <v>318</v>
      </c>
      <c r="F207" s="3">
        <v>3000</v>
      </c>
      <c r="G207">
        <v>0</v>
      </c>
      <c r="H207">
        <v>0.5</v>
      </c>
      <c r="I207">
        <v>2.1</v>
      </c>
      <c r="J207">
        <v>-8.5</v>
      </c>
      <c r="K207" s="2">
        <v>0</v>
      </c>
    </row>
    <row r="208" spans="1:11" x14ac:dyDescent="0.25">
      <c r="A208">
        <v>40470702</v>
      </c>
      <c r="B208" t="s">
        <v>239</v>
      </c>
      <c r="C208" t="s">
        <v>51</v>
      </c>
      <c r="D208" t="s">
        <v>57</v>
      </c>
      <c r="E208" t="s">
        <v>25</v>
      </c>
      <c r="F208" s="3">
        <v>2900</v>
      </c>
      <c r="G208">
        <v>0.1</v>
      </c>
      <c r="H208">
        <v>4.8</v>
      </c>
      <c r="I208">
        <v>11.3</v>
      </c>
      <c r="J208">
        <v>-4</v>
      </c>
      <c r="K208" s="2">
        <v>2E-3</v>
      </c>
    </row>
    <row r="209" spans="1:11" x14ac:dyDescent="0.25">
      <c r="A209">
        <v>40470704</v>
      </c>
      <c r="B209" t="s">
        <v>237</v>
      </c>
      <c r="C209" t="s">
        <v>51</v>
      </c>
      <c r="D209" t="s">
        <v>41</v>
      </c>
      <c r="E209" t="s">
        <v>19</v>
      </c>
      <c r="F209" s="3">
        <v>2900</v>
      </c>
      <c r="G209">
        <v>0.5</v>
      </c>
      <c r="H209">
        <v>4.5</v>
      </c>
      <c r="I209">
        <v>10</v>
      </c>
      <c r="J209">
        <v>-4.3</v>
      </c>
      <c r="K209" s="2">
        <v>3.0000000000000001E-3</v>
      </c>
    </row>
    <row r="210" spans="1:11" x14ac:dyDescent="0.25">
      <c r="A210">
        <v>40470706</v>
      </c>
      <c r="B210" t="s">
        <v>243</v>
      </c>
      <c r="C210" t="s">
        <v>51</v>
      </c>
      <c r="D210" t="s">
        <v>43</v>
      </c>
      <c r="E210" t="s">
        <v>33</v>
      </c>
      <c r="F210" s="3">
        <v>2800</v>
      </c>
      <c r="G210">
        <v>0</v>
      </c>
      <c r="H210">
        <v>2.5</v>
      </c>
      <c r="I210">
        <v>7.1</v>
      </c>
      <c r="J210">
        <v>-6.1</v>
      </c>
      <c r="K210" s="2">
        <v>0</v>
      </c>
    </row>
    <row r="211" spans="1:11" x14ac:dyDescent="0.25">
      <c r="A211">
        <v>40470708</v>
      </c>
      <c r="B211" t="s">
        <v>241</v>
      </c>
      <c r="C211" t="s">
        <v>51</v>
      </c>
      <c r="D211" t="s">
        <v>41</v>
      </c>
      <c r="E211" t="s">
        <v>19</v>
      </c>
      <c r="F211" s="3">
        <v>2800</v>
      </c>
      <c r="G211">
        <v>0</v>
      </c>
      <c r="H211">
        <v>3.4</v>
      </c>
      <c r="I211">
        <v>8.5</v>
      </c>
      <c r="J211">
        <v>-5.0999999999999996</v>
      </c>
      <c r="K211" s="2">
        <v>0</v>
      </c>
    </row>
    <row r="212" spans="1:11" x14ac:dyDescent="0.25">
      <c r="A212">
        <v>40470710</v>
      </c>
      <c r="B212" t="s">
        <v>242</v>
      </c>
      <c r="C212" t="s">
        <v>51</v>
      </c>
      <c r="D212" t="s">
        <v>19</v>
      </c>
      <c r="E212" t="s">
        <v>320</v>
      </c>
      <c r="F212" s="3">
        <v>2800</v>
      </c>
      <c r="G212">
        <v>0</v>
      </c>
      <c r="H212">
        <v>3.1</v>
      </c>
      <c r="I212">
        <v>8.3000000000000007</v>
      </c>
      <c r="J212">
        <v>-5.5</v>
      </c>
      <c r="K212" s="2">
        <v>1E-3</v>
      </c>
    </row>
    <row r="213" spans="1:11" x14ac:dyDescent="0.25">
      <c r="A213">
        <v>40470712</v>
      </c>
      <c r="B213" t="s">
        <v>246</v>
      </c>
      <c r="C213" t="s">
        <v>51</v>
      </c>
      <c r="D213" t="s">
        <v>31</v>
      </c>
      <c r="E213" t="s">
        <v>312</v>
      </c>
      <c r="F213" s="3">
        <v>2700</v>
      </c>
      <c r="G213">
        <v>0</v>
      </c>
      <c r="H213">
        <v>3.2</v>
      </c>
      <c r="I213">
        <v>8.1</v>
      </c>
      <c r="J213">
        <v>-5.0999999999999996</v>
      </c>
      <c r="K213" s="2">
        <v>2E-3</v>
      </c>
    </row>
    <row r="214" spans="1:11" x14ac:dyDescent="0.25">
      <c r="A214">
        <v>40470714</v>
      </c>
      <c r="B214" t="s">
        <v>244</v>
      </c>
      <c r="C214" t="s">
        <v>51</v>
      </c>
      <c r="D214" t="s">
        <v>41</v>
      </c>
      <c r="E214" t="s">
        <v>19</v>
      </c>
      <c r="F214" s="3">
        <v>2700</v>
      </c>
      <c r="G214">
        <v>0.3</v>
      </c>
      <c r="H214">
        <v>4.0999999999999996</v>
      </c>
      <c r="I214">
        <v>9.5</v>
      </c>
      <c r="J214">
        <v>-4.2</v>
      </c>
      <c r="K214" s="2">
        <v>0</v>
      </c>
    </row>
    <row r="215" spans="1:11" x14ac:dyDescent="0.25">
      <c r="A215">
        <v>40470718</v>
      </c>
      <c r="B215" t="s">
        <v>248</v>
      </c>
      <c r="C215" t="s">
        <v>51</v>
      </c>
      <c r="D215" t="s">
        <v>26</v>
      </c>
      <c r="E215" t="s">
        <v>39</v>
      </c>
      <c r="F215" s="3">
        <v>2600</v>
      </c>
      <c r="G215">
        <v>0.8</v>
      </c>
      <c r="H215">
        <v>5.6</v>
      </c>
      <c r="I215">
        <v>12.3</v>
      </c>
      <c r="J215">
        <v>-2.6</v>
      </c>
      <c r="K215" s="2">
        <v>4.0000000000000001E-3</v>
      </c>
    </row>
    <row r="216" spans="1:11" x14ac:dyDescent="0.25">
      <c r="A216">
        <v>40470720</v>
      </c>
      <c r="B216" t="s">
        <v>250</v>
      </c>
      <c r="C216" t="s">
        <v>51</v>
      </c>
      <c r="D216" t="s">
        <v>45</v>
      </c>
      <c r="E216" t="s">
        <v>14</v>
      </c>
      <c r="F216" s="3">
        <v>2600</v>
      </c>
      <c r="G216">
        <v>0</v>
      </c>
      <c r="H216">
        <v>3</v>
      </c>
      <c r="I216">
        <v>8.1</v>
      </c>
      <c r="J216">
        <v>-5.2</v>
      </c>
      <c r="K216" s="2">
        <v>0</v>
      </c>
    </row>
    <row r="217" spans="1:11" x14ac:dyDescent="0.25">
      <c r="A217">
        <v>40470722</v>
      </c>
      <c r="B217" t="s">
        <v>247</v>
      </c>
      <c r="C217" t="s">
        <v>51</v>
      </c>
      <c r="D217" t="s">
        <v>21</v>
      </c>
      <c r="E217" t="s">
        <v>313</v>
      </c>
      <c r="F217" s="3">
        <v>2600</v>
      </c>
      <c r="G217">
        <v>0.6</v>
      </c>
      <c r="H217">
        <v>5.0999999999999996</v>
      </c>
      <c r="I217">
        <v>11.4</v>
      </c>
      <c r="J217">
        <v>-3.1</v>
      </c>
      <c r="K217" s="2">
        <v>1E-3</v>
      </c>
    </row>
    <row r="218" spans="1:11" x14ac:dyDescent="0.25">
      <c r="A218">
        <v>40470724</v>
      </c>
      <c r="B218" t="s">
        <v>251</v>
      </c>
      <c r="C218" t="s">
        <v>51</v>
      </c>
      <c r="D218" t="s">
        <v>9</v>
      </c>
      <c r="E218" t="s">
        <v>21</v>
      </c>
      <c r="F218" s="3">
        <v>2500</v>
      </c>
      <c r="G218">
        <v>0</v>
      </c>
      <c r="H218">
        <v>0.9</v>
      </c>
      <c r="I218">
        <v>3.4</v>
      </c>
      <c r="J218">
        <v>-7.1</v>
      </c>
      <c r="K218" s="2">
        <v>0</v>
      </c>
    </row>
    <row r="219" spans="1:11" x14ac:dyDescent="0.25">
      <c r="A219">
        <v>40470726</v>
      </c>
      <c r="B219" t="s">
        <v>252</v>
      </c>
      <c r="C219" t="s">
        <v>51</v>
      </c>
      <c r="D219" t="s">
        <v>9</v>
      </c>
      <c r="E219" t="s">
        <v>21</v>
      </c>
      <c r="F219" s="3">
        <v>2500</v>
      </c>
      <c r="G219">
        <v>0</v>
      </c>
      <c r="H219">
        <v>0.2</v>
      </c>
      <c r="I219">
        <v>0.7</v>
      </c>
      <c r="J219">
        <v>-7.8</v>
      </c>
      <c r="K219" s="2">
        <v>0</v>
      </c>
    </row>
    <row r="220" spans="1:11" x14ac:dyDescent="0.25">
      <c r="A220">
        <v>40470728</v>
      </c>
      <c r="B220" t="s">
        <v>253</v>
      </c>
      <c r="C220" t="s">
        <v>51</v>
      </c>
      <c r="D220" t="s">
        <v>9</v>
      </c>
      <c r="E220" t="s">
        <v>21</v>
      </c>
      <c r="F220" s="3">
        <v>2500</v>
      </c>
      <c r="G220">
        <v>0</v>
      </c>
      <c r="H220">
        <v>0.3</v>
      </c>
      <c r="I220">
        <v>0.6</v>
      </c>
      <c r="J220">
        <v>-7.7</v>
      </c>
      <c r="K220" s="2">
        <v>0</v>
      </c>
    </row>
    <row r="221" spans="1:11" x14ac:dyDescent="0.25">
      <c r="A221">
        <v>40470732</v>
      </c>
      <c r="B221" t="s">
        <v>259</v>
      </c>
      <c r="C221" t="s">
        <v>51</v>
      </c>
      <c r="D221" t="s">
        <v>19</v>
      </c>
      <c r="E221" t="s">
        <v>320</v>
      </c>
      <c r="F221" s="3">
        <v>2500</v>
      </c>
      <c r="G221">
        <v>0</v>
      </c>
      <c r="H221">
        <v>1.2</v>
      </c>
      <c r="I221">
        <v>4.3</v>
      </c>
      <c r="J221">
        <v>-6.8</v>
      </c>
      <c r="K221" s="2">
        <v>0</v>
      </c>
    </row>
    <row r="222" spans="1:11" x14ac:dyDescent="0.25">
      <c r="A222">
        <v>40470736</v>
      </c>
      <c r="B222" t="s">
        <v>263</v>
      </c>
      <c r="C222" t="s">
        <v>51</v>
      </c>
      <c r="D222" t="s">
        <v>22</v>
      </c>
      <c r="E222" t="s">
        <v>7</v>
      </c>
      <c r="F222" s="3">
        <v>2500</v>
      </c>
      <c r="G222">
        <v>0</v>
      </c>
      <c r="H222">
        <v>1.7</v>
      </c>
      <c r="I222">
        <v>5.5</v>
      </c>
      <c r="J222">
        <v>-6.2</v>
      </c>
      <c r="K222" s="2">
        <v>0</v>
      </c>
    </row>
    <row r="223" spans="1:11" x14ac:dyDescent="0.25">
      <c r="A223">
        <v>40470748</v>
      </c>
      <c r="B223" t="s">
        <v>255</v>
      </c>
      <c r="C223" t="s">
        <v>51</v>
      </c>
      <c r="D223" t="s">
        <v>39</v>
      </c>
      <c r="E223" t="s">
        <v>319</v>
      </c>
      <c r="F223" s="3">
        <v>2500</v>
      </c>
      <c r="G223">
        <v>0</v>
      </c>
      <c r="H223">
        <v>1</v>
      </c>
      <c r="I223">
        <v>3.7</v>
      </c>
      <c r="J223">
        <v>-6.9</v>
      </c>
      <c r="K223" s="2">
        <v>0</v>
      </c>
    </row>
    <row r="224" spans="1:11" x14ac:dyDescent="0.25">
      <c r="A224">
        <v>40470752</v>
      </c>
      <c r="B224" t="s">
        <v>256</v>
      </c>
      <c r="C224" t="s">
        <v>51</v>
      </c>
      <c r="D224" t="s">
        <v>39</v>
      </c>
      <c r="E224" t="s">
        <v>319</v>
      </c>
      <c r="F224" s="3">
        <v>2500</v>
      </c>
      <c r="G224">
        <v>0</v>
      </c>
      <c r="H224">
        <v>0.3</v>
      </c>
      <c r="I224">
        <v>1</v>
      </c>
      <c r="J224">
        <v>-7.7</v>
      </c>
      <c r="K224" s="2">
        <v>0</v>
      </c>
    </row>
    <row r="225" spans="1:11" x14ac:dyDescent="0.25">
      <c r="A225">
        <v>40470754</v>
      </c>
      <c r="B225" t="s">
        <v>260</v>
      </c>
      <c r="C225" t="s">
        <v>51</v>
      </c>
      <c r="D225" t="s">
        <v>12</v>
      </c>
      <c r="E225" t="s">
        <v>47</v>
      </c>
      <c r="F225" s="3">
        <v>2500</v>
      </c>
      <c r="G225">
        <v>0</v>
      </c>
      <c r="H225">
        <v>1.9</v>
      </c>
      <c r="I225">
        <v>5.4</v>
      </c>
      <c r="J225">
        <v>-6.1</v>
      </c>
      <c r="K225" s="2">
        <v>0</v>
      </c>
    </row>
    <row r="226" spans="1:11" x14ac:dyDescent="0.25">
      <c r="A226">
        <v>40470756</v>
      </c>
      <c r="B226" t="s">
        <v>261</v>
      </c>
      <c r="C226" t="s">
        <v>51</v>
      </c>
      <c r="D226" t="s">
        <v>12</v>
      </c>
      <c r="E226" t="s">
        <v>47</v>
      </c>
      <c r="F226" s="3">
        <v>2500</v>
      </c>
      <c r="G226">
        <v>0.2</v>
      </c>
      <c r="H226">
        <v>3.9</v>
      </c>
      <c r="I226">
        <v>9.5</v>
      </c>
      <c r="J226">
        <v>-4</v>
      </c>
      <c r="K226" s="2">
        <v>0</v>
      </c>
    </row>
    <row r="227" spans="1:11" x14ac:dyDescent="0.25">
      <c r="A227">
        <v>40470766</v>
      </c>
      <c r="B227" t="s">
        <v>265</v>
      </c>
      <c r="C227" t="s">
        <v>51</v>
      </c>
      <c r="D227" t="s">
        <v>33</v>
      </c>
      <c r="E227" t="s">
        <v>316</v>
      </c>
      <c r="F227" s="3">
        <v>2500</v>
      </c>
      <c r="G227">
        <v>0</v>
      </c>
      <c r="H227">
        <v>0.8</v>
      </c>
      <c r="I227">
        <v>3.1</v>
      </c>
      <c r="J227">
        <v>-7.2</v>
      </c>
      <c r="K227" s="2">
        <v>0</v>
      </c>
    </row>
    <row r="228" spans="1:11" x14ac:dyDescent="0.25">
      <c r="A228">
        <v>40470770</v>
      </c>
      <c r="B228" t="s">
        <v>276</v>
      </c>
      <c r="C228" t="s">
        <v>51</v>
      </c>
      <c r="D228" t="s">
        <v>14</v>
      </c>
      <c r="E228" t="s">
        <v>315</v>
      </c>
      <c r="F228" s="3">
        <v>2500</v>
      </c>
      <c r="G228">
        <v>0</v>
      </c>
      <c r="H228">
        <v>1.8</v>
      </c>
      <c r="I228">
        <v>5.4</v>
      </c>
      <c r="J228">
        <v>-6.2</v>
      </c>
      <c r="K228" s="2">
        <v>0</v>
      </c>
    </row>
    <row r="229" spans="1:11" x14ac:dyDescent="0.25">
      <c r="A229">
        <v>40470772</v>
      </c>
      <c r="B229" t="s">
        <v>277</v>
      </c>
      <c r="C229" t="s">
        <v>51</v>
      </c>
      <c r="D229" t="s">
        <v>14</v>
      </c>
      <c r="E229" t="s">
        <v>315</v>
      </c>
      <c r="F229" s="3">
        <v>2500</v>
      </c>
      <c r="G229">
        <v>0</v>
      </c>
      <c r="H229">
        <v>0.3</v>
      </c>
      <c r="I229">
        <v>1.3</v>
      </c>
      <c r="J229">
        <v>-7.7</v>
      </c>
      <c r="K229" s="2">
        <v>0</v>
      </c>
    </row>
    <row r="230" spans="1:11" x14ac:dyDescent="0.25">
      <c r="A230">
        <v>40470780</v>
      </c>
      <c r="B230" t="s">
        <v>278</v>
      </c>
      <c r="C230" t="s">
        <v>51</v>
      </c>
      <c r="D230" t="s">
        <v>45</v>
      </c>
      <c r="E230" t="s">
        <v>14</v>
      </c>
      <c r="F230" s="3">
        <v>2500</v>
      </c>
      <c r="G230">
        <v>0</v>
      </c>
      <c r="H230">
        <v>2</v>
      </c>
      <c r="I230">
        <v>6.2</v>
      </c>
      <c r="J230">
        <v>-6</v>
      </c>
      <c r="K230" s="2">
        <v>0</v>
      </c>
    </row>
    <row r="231" spans="1:11" x14ac:dyDescent="0.25">
      <c r="A231">
        <v>40470790</v>
      </c>
      <c r="B231" t="s">
        <v>279</v>
      </c>
      <c r="C231" t="s">
        <v>51</v>
      </c>
      <c r="D231" t="s">
        <v>76</v>
      </c>
      <c r="E231" t="s">
        <v>311</v>
      </c>
      <c r="F231" s="3">
        <v>2500</v>
      </c>
      <c r="G231">
        <v>0</v>
      </c>
      <c r="H231">
        <v>0.1</v>
      </c>
      <c r="I231">
        <v>0.6</v>
      </c>
      <c r="J231">
        <v>-7.8</v>
      </c>
      <c r="K231" s="2">
        <v>0</v>
      </c>
    </row>
    <row r="232" spans="1:11" x14ac:dyDescent="0.25">
      <c r="A232">
        <v>40470794</v>
      </c>
      <c r="B232" t="s">
        <v>280</v>
      </c>
      <c r="C232" t="s">
        <v>51</v>
      </c>
      <c r="D232" t="s">
        <v>5</v>
      </c>
      <c r="E232" t="s">
        <v>76</v>
      </c>
      <c r="F232" s="3">
        <v>2500</v>
      </c>
      <c r="G232">
        <v>0</v>
      </c>
      <c r="H232">
        <v>2</v>
      </c>
      <c r="I232">
        <v>6.4</v>
      </c>
      <c r="J232">
        <v>-6</v>
      </c>
      <c r="K232" s="2">
        <v>0</v>
      </c>
    </row>
    <row r="233" spans="1:11" x14ac:dyDescent="0.25">
      <c r="A233">
        <v>40470796</v>
      </c>
      <c r="B233" t="s">
        <v>281</v>
      </c>
      <c r="C233" t="s">
        <v>51</v>
      </c>
      <c r="D233" t="s">
        <v>5</v>
      </c>
      <c r="E233" t="s">
        <v>76</v>
      </c>
      <c r="F233" s="3">
        <v>2500</v>
      </c>
      <c r="G233">
        <v>0</v>
      </c>
      <c r="H233">
        <v>0.3</v>
      </c>
      <c r="I233">
        <v>1.3</v>
      </c>
      <c r="J233">
        <v>-7.7</v>
      </c>
      <c r="K233" s="2">
        <v>0</v>
      </c>
    </row>
    <row r="234" spans="1:11" x14ac:dyDescent="0.25">
      <c r="A234">
        <v>40470806</v>
      </c>
      <c r="B234" t="s">
        <v>254</v>
      </c>
      <c r="C234" t="s">
        <v>51</v>
      </c>
      <c r="D234" t="s">
        <v>21</v>
      </c>
      <c r="E234" t="s">
        <v>313</v>
      </c>
      <c r="F234" s="3">
        <v>2500</v>
      </c>
      <c r="G234">
        <v>0</v>
      </c>
      <c r="H234">
        <v>1.5</v>
      </c>
      <c r="I234">
        <v>4.7</v>
      </c>
      <c r="J234">
        <v>-6.5</v>
      </c>
      <c r="K234" s="2">
        <v>0</v>
      </c>
    </row>
    <row r="235" spans="1:11" x14ac:dyDescent="0.25">
      <c r="A235">
        <v>40470808</v>
      </c>
      <c r="B235" t="s">
        <v>427</v>
      </c>
      <c r="C235" t="s">
        <v>51</v>
      </c>
      <c r="D235" t="s">
        <v>21</v>
      </c>
      <c r="E235" t="s">
        <v>313</v>
      </c>
      <c r="F235" s="3">
        <v>2500</v>
      </c>
      <c r="G235">
        <v>0</v>
      </c>
      <c r="H235">
        <v>0.3</v>
      </c>
      <c r="I235">
        <v>1</v>
      </c>
      <c r="J235">
        <v>-7.7</v>
      </c>
      <c r="K235" s="2">
        <v>0</v>
      </c>
    </row>
    <row r="236" spans="1:11" x14ac:dyDescent="0.25">
      <c r="A236">
        <v>40470814</v>
      </c>
      <c r="B236" t="s">
        <v>272</v>
      </c>
      <c r="C236" t="s">
        <v>51</v>
      </c>
      <c r="D236" t="s">
        <v>57</v>
      </c>
      <c r="E236" t="s">
        <v>25</v>
      </c>
      <c r="F236" s="3">
        <v>2500</v>
      </c>
      <c r="G236">
        <v>0</v>
      </c>
      <c r="H236">
        <v>1.1000000000000001</v>
      </c>
      <c r="I236">
        <v>3.9</v>
      </c>
      <c r="J236">
        <v>-6.8</v>
      </c>
      <c r="K236" s="2">
        <v>0</v>
      </c>
    </row>
    <row r="237" spans="1:11" x14ac:dyDescent="0.25">
      <c r="A237">
        <v>40470816</v>
      </c>
      <c r="B237" t="s">
        <v>273</v>
      </c>
      <c r="C237" t="s">
        <v>51</v>
      </c>
      <c r="D237" t="s">
        <v>57</v>
      </c>
      <c r="E237" t="s">
        <v>25</v>
      </c>
      <c r="F237" s="3">
        <v>2500</v>
      </c>
      <c r="G237">
        <v>0</v>
      </c>
      <c r="H237">
        <v>0.5</v>
      </c>
      <c r="I237">
        <v>2.2000000000000002</v>
      </c>
      <c r="J237">
        <v>-7.4</v>
      </c>
      <c r="K237" s="2">
        <v>0</v>
      </c>
    </row>
    <row r="238" spans="1:11" x14ac:dyDescent="0.25">
      <c r="A238">
        <v>40470826</v>
      </c>
      <c r="B238" t="s">
        <v>267</v>
      </c>
      <c r="C238" t="s">
        <v>51</v>
      </c>
      <c r="D238" t="s">
        <v>31</v>
      </c>
      <c r="E238" t="s">
        <v>312</v>
      </c>
      <c r="F238" s="3">
        <v>2500</v>
      </c>
      <c r="G238">
        <v>0</v>
      </c>
      <c r="H238">
        <v>0.3</v>
      </c>
      <c r="I238">
        <v>1</v>
      </c>
      <c r="J238">
        <v>-7.7</v>
      </c>
      <c r="K238" s="2">
        <v>0</v>
      </c>
    </row>
    <row r="239" spans="1:11" x14ac:dyDescent="0.25">
      <c r="A239">
        <v>40470828</v>
      </c>
      <c r="B239" t="s">
        <v>268</v>
      </c>
      <c r="C239" t="s">
        <v>51</v>
      </c>
      <c r="D239" t="s">
        <v>31</v>
      </c>
      <c r="E239" t="s">
        <v>312</v>
      </c>
      <c r="F239" s="3">
        <v>2500</v>
      </c>
      <c r="G239">
        <v>0</v>
      </c>
      <c r="H239">
        <v>0.1</v>
      </c>
      <c r="I239">
        <v>0.5</v>
      </c>
      <c r="J239">
        <v>-7.9</v>
      </c>
      <c r="K239" s="2">
        <v>0</v>
      </c>
    </row>
    <row r="240" spans="1:11" x14ac:dyDescent="0.25">
      <c r="A240">
        <v>40470830</v>
      </c>
      <c r="B240" t="s">
        <v>262</v>
      </c>
      <c r="C240" t="s">
        <v>51</v>
      </c>
      <c r="D240" t="s">
        <v>47</v>
      </c>
      <c r="E240" t="s">
        <v>314</v>
      </c>
      <c r="F240" s="3">
        <v>2500</v>
      </c>
      <c r="G240">
        <v>0</v>
      </c>
      <c r="H240">
        <v>2.9</v>
      </c>
      <c r="I240">
        <v>7.3</v>
      </c>
      <c r="J240">
        <v>-5</v>
      </c>
      <c r="K240" s="2">
        <v>0</v>
      </c>
    </row>
    <row r="241" spans="1:11" x14ac:dyDescent="0.25">
      <c r="A241">
        <v>40470836</v>
      </c>
      <c r="B241" t="s">
        <v>269</v>
      </c>
      <c r="C241" t="s">
        <v>51</v>
      </c>
      <c r="D241" t="s">
        <v>16</v>
      </c>
      <c r="E241" t="s">
        <v>31</v>
      </c>
      <c r="F241" s="3">
        <v>2500</v>
      </c>
      <c r="G241">
        <v>0</v>
      </c>
      <c r="H241">
        <v>2.2000000000000002</v>
      </c>
      <c r="I241">
        <v>6.4</v>
      </c>
      <c r="J241">
        <v>-5.8</v>
      </c>
      <c r="K241" s="2">
        <v>0</v>
      </c>
    </row>
    <row r="242" spans="1:11" x14ac:dyDescent="0.25">
      <c r="A242">
        <v>40470838</v>
      </c>
      <c r="B242" t="s">
        <v>270</v>
      </c>
      <c r="C242" t="s">
        <v>51</v>
      </c>
      <c r="D242" t="s">
        <v>16</v>
      </c>
      <c r="E242" t="s">
        <v>31</v>
      </c>
      <c r="F242" s="3">
        <v>2500</v>
      </c>
      <c r="G242">
        <v>0</v>
      </c>
      <c r="H242">
        <v>0.2</v>
      </c>
      <c r="I242">
        <v>1</v>
      </c>
      <c r="J242">
        <v>-7.7</v>
      </c>
      <c r="K242" s="2">
        <v>0</v>
      </c>
    </row>
    <row r="243" spans="1:11" x14ac:dyDescent="0.25">
      <c r="A243">
        <v>40470840</v>
      </c>
      <c r="B243" t="s">
        <v>271</v>
      </c>
      <c r="C243" t="s">
        <v>51</v>
      </c>
      <c r="D243" t="s">
        <v>16</v>
      </c>
      <c r="E243" t="s">
        <v>31</v>
      </c>
      <c r="F243" s="3">
        <v>2500</v>
      </c>
      <c r="G243">
        <v>0</v>
      </c>
      <c r="H243">
        <v>0.1</v>
      </c>
      <c r="I243">
        <v>0.5</v>
      </c>
      <c r="J243">
        <v>-7.9</v>
      </c>
      <c r="K243" s="2">
        <v>0</v>
      </c>
    </row>
    <row r="244" spans="1:11" x14ac:dyDescent="0.25">
      <c r="A244">
        <v>40470848</v>
      </c>
      <c r="B244" t="s">
        <v>264</v>
      </c>
      <c r="C244" t="s">
        <v>51</v>
      </c>
      <c r="D244" t="s">
        <v>7</v>
      </c>
      <c r="E244" t="s">
        <v>318</v>
      </c>
      <c r="F244" s="3">
        <v>2500</v>
      </c>
      <c r="G244">
        <v>0</v>
      </c>
      <c r="H244">
        <v>1.3</v>
      </c>
      <c r="I244">
        <v>4.4000000000000004</v>
      </c>
      <c r="J244">
        <v>-6.6</v>
      </c>
      <c r="K244" s="2">
        <v>0</v>
      </c>
    </row>
    <row r="245" spans="1:11" x14ac:dyDescent="0.25">
      <c r="A245">
        <v>40470852</v>
      </c>
      <c r="B245" t="s">
        <v>274</v>
      </c>
      <c r="C245" t="s">
        <v>51</v>
      </c>
      <c r="D245" t="s">
        <v>25</v>
      </c>
      <c r="E245" t="s">
        <v>317</v>
      </c>
      <c r="F245" s="3">
        <v>2500</v>
      </c>
      <c r="G245">
        <v>0</v>
      </c>
      <c r="H245">
        <v>0.3</v>
      </c>
      <c r="I245">
        <v>1.3</v>
      </c>
      <c r="J245">
        <v>-7.7</v>
      </c>
      <c r="K245" s="2">
        <v>0</v>
      </c>
    </row>
    <row r="246" spans="1:11" x14ac:dyDescent="0.25">
      <c r="A246">
        <v>40470854</v>
      </c>
      <c r="B246" t="s">
        <v>275</v>
      </c>
      <c r="C246" t="s">
        <v>51</v>
      </c>
      <c r="D246" t="s">
        <v>25</v>
      </c>
      <c r="E246" t="s">
        <v>317</v>
      </c>
      <c r="F246" s="3">
        <v>2500</v>
      </c>
      <c r="G246">
        <v>0</v>
      </c>
      <c r="H246">
        <v>0.2</v>
      </c>
      <c r="I246">
        <v>0.7</v>
      </c>
      <c r="J246">
        <v>-7.8</v>
      </c>
      <c r="K246" s="2">
        <v>0</v>
      </c>
    </row>
    <row r="247" spans="1:11" x14ac:dyDescent="0.25">
      <c r="A247">
        <v>40470866</v>
      </c>
      <c r="B247" t="s">
        <v>257</v>
      </c>
      <c r="C247" t="s">
        <v>51</v>
      </c>
      <c r="D247" t="s">
        <v>26</v>
      </c>
      <c r="E247" t="s">
        <v>39</v>
      </c>
      <c r="F247" s="3">
        <v>2500</v>
      </c>
      <c r="G247">
        <v>0</v>
      </c>
      <c r="H247">
        <v>0.8</v>
      </c>
      <c r="I247">
        <v>3.1</v>
      </c>
      <c r="J247">
        <v>-7.2</v>
      </c>
      <c r="K247" s="2">
        <v>0</v>
      </c>
    </row>
    <row r="248" spans="1:11" x14ac:dyDescent="0.25">
      <c r="A248">
        <v>40470868</v>
      </c>
      <c r="B248" t="s">
        <v>258</v>
      </c>
      <c r="C248" t="s">
        <v>51</v>
      </c>
      <c r="D248" t="s">
        <v>57</v>
      </c>
      <c r="E248" t="s">
        <v>25</v>
      </c>
      <c r="F248" s="3">
        <v>2500</v>
      </c>
      <c r="G248">
        <v>0</v>
      </c>
      <c r="H248">
        <v>0.1</v>
      </c>
      <c r="I248">
        <v>0.6</v>
      </c>
      <c r="J248">
        <v>-7.8</v>
      </c>
      <c r="K248" s="2">
        <v>0</v>
      </c>
    </row>
    <row r="249" spans="1:11" x14ac:dyDescent="0.25">
      <c r="A249">
        <v>40470870</v>
      </c>
      <c r="B249" t="s">
        <v>163</v>
      </c>
      <c r="C249" t="s">
        <v>162</v>
      </c>
      <c r="D249" t="s">
        <v>5</v>
      </c>
      <c r="E249" t="s">
        <v>76</v>
      </c>
      <c r="F249" s="3">
        <v>3800</v>
      </c>
      <c r="G249">
        <v>3.6</v>
      </c>
      <c r="H249">
        <v>10.199999999999999</v>
      </c>
      <c r="I249">
        <v>18.100000000000001</v>
      </c>
      <c r="J249">
        <v>1.7</v>
      </c>
      <c r="K249" s="2">
        <v>0.112</v>
      </c>
    </row>
    <row r="250" spans="1:11" x14ac:dyDescent="0.25">
      <c r="A250">
        <v>40470871</v>
      </c>
      <c r="B250" t="s">
        <v>170</v>
      </c>
      <c r="C250" t="s">
        <v>162</v>
      </c>
      <c r="D250" t="s">
        <v>43</v>
      </c>
      <c r="E250" t="s">
        <v>33</v>
      </c>
      <c r="F250" s="3">
        <v>3600</v>
      </c>
      <c r="G250">
        <v>2.5</v>
      </c>
      <c r="H250">
        <v>8.6999999999999993</v>
      </c>
      <c r="I250">
        <v>16.3</v>
      </c>
      <c r="J250">
        <v>0.6</v>
      </c>
      <c r="K250" s="2">
        <v>5.6000000000000001E-2</v>
      </c>
    </row>
    <row r="251" spans="1:11" x14ac:dyDescent="0.25">
      <c r="A251">
        <v>40470872</v>
      </c>
      <c r="B251" t="s">
        <v>172</v>
      </c>
      <c r="C251" t="s">
        <v>162</v>
      </c>
      <c r="D251" t="s">
        <v>9</v>
      </c>
      <c r="E251" t="s">
        <v>21</v>
      </c>
      <c r="F251" s="3">
        <v>3500</v>
      </c>
      <c r="G251">
        <v>1.5</v>
      </c>
      <c r="H251">
        <v>7.3</v>
      </c>
      <c r="I251">
        <v>14.5</v>
      </c>
      <c r="J251">
        <v>-0.6</v>
      </c>
      <c r="K251" s="2">
        <v>3.5000000000000003E-2</v>
      </c>
    </row>
    <row r="252" spans="1:11" x14ac:dyDescent="0.25">
      <c r="A252">
        <v>40470873</v>
      </c>
      <c r="B252" t="s">
        <v>180</v>
      </c>
      <c r="C252" t="s">
        <v>162</v>
      </c>
      <c r="D252" t="s">
        <v>25</v>
      </c>
      <c r="E252" t="s">
        <v>317</v>
      </c>
      <c r="F252" s="3">
        <v>3400</v>
      </c>
      <c r="G252">
        <v>1.2</v>
      </c>
      <c r="H252">
        <v>7.1</v>
      </c>
      <c r="I252">
        <v>14.4</v>
      </c>
      <c r="J252">
        <v>-0.6</v>
      </c>
      <c r="K252" s="2">
        <v>2.8000000000000001E-2</v>
      </c>
    </row>
    <row r="253" spans="1:11" x14ac:dyDescent="0.25">
      <c r="A253">
        <v>40470874</v>
      </c>
      <c r="B253" t="s">
        <v>184</v>
      </c>
      <c r="C253" t="s">
        <v>162</v>
      </c>
      <c r="D253" t="s">
        <v>19</v>
      </c>
      <c r="E253" t="s">
        <v>320</v>
      </c>
      <c r="F253" s="3">
        <v>3300</v>
      </c>
      <c r="G253">
        <v>1.2</v>
      </c>
      <c r="H253">
        <v>7.1</v>
      </c>
      <c r="I253">
        <v>14.3</v>
      </c>
      <c r="J253">
        <v>-0.5</v>
      </c>
      <c r="K253" s="2">
        <v>4.2000000000000003E-2</v>
      </c>
    </row>
    <row r="254" spans="1:11" x14ac:dyDescent="0.25">
      <c r="A254">
        <v>40470875</v>
      </c>
      <c r="B254" t="s">
        <v>196</v>
      </c>
      <c r="C254" t="s">
        <v>162</v>
      </c>
      <c r="D254" t="s">
        <v>16</v>
      </c>
      <c r="E254" t="s">
        <v>31</v>
      </c>
      <c r="F254" s="3">
        <v>3200</v>
      </c>
      <c r="G254">
        <v>2.1</v>
      </c>
      <c r="H254">
        <v>8.4</v>
      </c>
      <c r="I254">
        <v>16.100000000000001</v>
      </c>
      <c r="J254">
        <v>1</v>
      </c>
      <c r="K254" s="2">
        <v>0.10199999999999999</v>
      </c>
    </row>
    <row r="255" spans="1:11" x14ac:dyDescent="0.25">
      <c r="A255">
        <v>40470876</v>
      </c>
      <c r="B255" t="s">
        <v>203</v>
      </c>
      <c r="C255" t="s">
        <v>162</v>
      </c>
      <c r="D255" t="s">
        <v>45</v>
      </c>
      <c r="E255" t="s">
        <v>14</v>
      </c>
      <c r="F255" s="3">
        <v>3100</v>
      </c>
      <c r="G255">
        <v>0</v>
      </c>
      <c r="H255">
        <v>5.7</v>
      </c>
      <c r="I255">
        <v>12.7</v>
      </c>
      <c r="J255">
        <v>-1.5</v>
      </c>
      <c r="K255" s="2">
        <v>3.4000000000000002E-2</v>
      </c>
    </row>
    <row r="256" spans="1:11" x14ac:dyDescent="0.25">
      <c r="A256">
        <v>40470877</v>
      </c>
      <c r="B256" t="s">
        <v>219</v>
      </c>
      <c r="C256" t="s">
        <v>162</v>
      </c>
      <c r="D256" t="s">
        <v>22</v>
      </c>
      <c r="E256" t="s">
        <v>7</v>
      </c>
      <c r="F256" s="3">
        <v>3000</v>
      </c>
      <c r="G256">
        <v>1</v>
      </c>
      <c r="H256">
        <v>6.6</v>
      </c>
      <c r="I256">
        <v>13.7</v>
      </c>
      <c r="J256">
        <v>-0.3</v>
      </c>
      <c r="K256" s="2">
        <v>5.7000000000000002E-2</v>
      </c>
    </row>
    <row r="257" spans="1:11" x14ac:dyDescent="0.25">
      <c r="A257">
        <v>40470878</v>
      </c>
      <c r="B257" t="s">
        <v>238</v>
      </c>
      <c r="C257" t="s">
        <v>162</v>
      </c>
      <c r="D257" t="s">
        <v>7</v>
      </c>
      <c r="E257" t="s">
        <v>318</v>
      </c>
      <c r="F257" s="3">
        <v>2900</v>
      </c>
      <c r="G257">
        <v>1.1000000000000001</v>
      </c>
      <c r="H257">
        <v>7.1</v>
      </c>
      <c r="I257">
        <v>14.4</v>
      </c>
      <c r="J257">
        <v>0.3</v>
      </c>
      <c r="K257" s="2">
        <v>4.9000000000000002E-2</v>
      </c>
    </row>
    <row r="258" spans="1:11" x14ac:dyDescent="0.25">
      <c r="A258">
        <v>40470879</v>
      </c>
      <c r="B258" t="s">
        <v>240</v>
      </c>
      <c r="C258" t="s">
        <v>162</v>
      </c>
      <c r="D258" t="s">
        <v>26</v>
      </c>
      <c r="E258" t="s">
        <v>39</v>
      </c>
      <c r="F258" s="3">
        <v>2800</v>
      </c>
      <c r="G258">
        <v>1</v>
      </c>
      <c r="H258">
        <v>6.9</v>
      </c>
      <c r="I258">
        <v>14.2</v>
      </c>
      <c r="J258">
        <v>0.4</v>
      </c>
      <c r="K258" s="2">
        <v>5.8000000000000003E-2</v>
      </c>
    </row>
    <row r="259" spans="1:11" x14ac:dyDescent="0.25">
      <c r="A259">
        <v>40470880</v>
      </c>
      <c r="B259" t="s">
        <v>245</v>
      </c>
      <c r="C259" t="s">
        <v>162</v>
      </c>
      <c r="D259" t="s">
        <v>12</v>
      </c>
      <c r="E259" t="s">
        <v>47</v>
      </c>
      <c r="F259" s="3">
        <v>2700</v>
      </c>
      <c r="G259">
        <v>2</v>
      </c>
      <c r="H259">
        <v>7.9</v>
      </c>
      <c r="I259">
        <v>15.1</v>
      </c>
      <c r="J259">
        <v>1.5</v>
      </c>
      <c r="K259" s="2">
        <v>0.14199999999999999</v>
      </c>
    </row>
    <row r="260" spans="1:11" x14ac:dyDescent="0.25">
      <c r="A260">
        <v>40470881</v>
      </c>
      <c r="B260" t="s">
        <v>249</v>
      </c>
      <c r="C260" t="s">
        <v>162</v>
      </c>
      <c r="D260" t="s">
        <v>39</v>
      </c>
      <c r="E260" t="s">
        <v>319</v>
      </c>
      <c r="F260" s="3">
        <v>2600</v>
      </c>
      <c r="G260">
        <v>0.5</v>
      </c>
      <c r="H260">
        <v>6.1</v>
      </c>
      <c r="I260">
        <v>12.9</v>
      </c>
      <c r="J260">
        <v>-0.1</v>
      </c>
      <c r="K260" s="2">
        <v>0.03</v>
      </c>
    </row>
    <row r="261" spans="1:11" x14ac:dyDescent="0.25">
      <c r="A261">
        <v>40470882</v>
      </c>
      <c r="B261" t="s">
        <v>266</v>
      </c>
      <c r="C261" t="s">
        <v>162</v>
      </c>
      <c r="D261" t="s">
        <v>33</v>
      </c>
      <c r="E261" t="s">
        <v>316</v>
      </c>
      <c r="F261" s="3">
        <v>2500</v>
      </c>
      <c r="G261">
        <v>0.7</v>
      </c>
      <c r="H261">
        <v>6.7</v>
      </c>
      <c r="I261">
        <v>13.8</v>
      </c>
      <c r="J261">
        <v>0.7</v>
      </c>
      <c r="K261" s="2">
        <v>6.5000000000000002E-2</v>
      </c>
    </row>
    <row r="262" spans="1:11" x14ac:dyDescent="0.25">
      <c r="A262">
        <v>40470883</v>
      </c>
      <c r="B262" t="s">
        <v>282</v>
      </c>
      <c r="C262" t="s">
        <v>162</v>
      </c>
      <c r="D262" t="s">
        <v>14</v>
      </c>
      <c r="E262" t="s">
        <v>315</v>
      </c>
      <c r="F262" s="3">
        <v>2400</v>
      </c>
      <c r="G262">
        <v>-1.2</v>
      </c>
      <c r="H262">
        <v>4.3</v>
      </c>
      <c r="I262">
        <v>10.9</v>
      </c>
      <c r="J262">
        <v>-1.5</v>
      </c>
      <c r="K262" s="2">
        <v>1.2999999999999999E-2</v>
      </c>
    </row>
    <row r="263" spans="1:11" x14ac:dyDescent="0.25">
      <c r="A263">
        <v>40470884</v>
      </c>
      <c r="B263" t="s">
        <v>284</v>
      </c>
      <c r="C263" t="s">
        <v>162</v>
      </c>
      <c r="D263" t="s">
        <v>57</v>
      </c>
      <c r="E263" t="s">
        <v>25</v>
      </c>
      <c r="F263" s="3">
        <v>2300</v>
      </c>
      <c r="G263">
        <v>-0.6</v>
      </c>
      <c r="H263">
        <v>5</v>
      </c>
      <c r="I263">
        <v>11.8</v>
      </c>
      <c r="J263">
        <v>-0.6</v>
      </c>
      <c r="K263" s="2">
        <v>3.7999999999999999E-2</v>
      </c>
    </row>
    <row r="264" spans="1:11" x14ac:dyDescent="0.25">
      <c r="A264">
        <v>40470885</v>
      </c>
      <c r="B264" t="s">
        <v>283</v>
      </c>
      <c r="C264" t="s">
        <v>162</v>
      </c>
      <c r="D264" t="s">
        <v>47</v>
      </c>
      <c r="E264" t="s">
        <v>314</v>
      </c>
      <c r="F264" s="3">
        <v>2300</v>
      </c>
      <c r="G264">
        <v>-0.2</v>
      </c>
      <c r="H264">
        <v>5.4</v>
      </c>
      <c r="I264">
        <v>12.3</v>
      </c>
      <c r="J264">
        <v>-0.2</v>
      </c>
      <c r="K264" s="2">
        <v>4.1000000000000002E-2</v>
      </c>
    </row>
    <row r="265" spans="1:11" x14ac:dyDescent="0.25">
      <c r="A265">
        <v>40470886</v>
      </c>
      <c r="B265" t="s">
        <v>285</v>
      </c>
      <c r="C265" t="s">
        <v>162</v>
      </c>
      <c r="D265" t="s">
        <v>21</v>
      </c>
      <c r="E265" t="s">
        <v>313</v>
      </c>
      <c r="F265" s="3">
        <v>2200</v>
      </c>
      <c r="G265">
        <v>-0.6</v>
      </c>
      <c r="H265">
        <v>4.8</v>
      </c>
      <c r="I265">
        <v>11.3</v>
      </c>
      <c r="J265">
        <v>-0.6</v>
      </c>
      <c r="K265" s="2">
        <v>2.1000000000000001E-2</v>
      </c>
    </row>
    <row r="266" spans="1:11" x14ac:dyDescent="0.25">
      <c r="A266">
        <v>40470887</v>
      </c>
      <c r="B266" t="s">
        <v>286</v>
      </c>
      <c r="C266" t="s">
        <v>162</v>
      </c>
      <c r="D266" t="s">
        <v>41</v>
      </c>
      <c r="E266" t="s">
        <v>19</v>
      </c>
      <c r="F266" s="3">
        <v>2200</v>
      </c>
      <c r="G266">
        <v>-1.3</v>
      </c>
      <c r="H266">
        <v>3.9</v>
      </c>
      <c r="I266">
        <v>10.199999999999999</v>
      </c>
      <c r="J266">
        <v>-1.5</v>
      </c>
      <c r="K266" s="2">
        <v>4.0000000000000001E-3</v>
      </c>
    </row>
    <row r="267" spans="1:11" x14ac:dyDescent="0.25">
      <c r="A267">
        <v>40470888</v>
      </c>
      <c r="B267" t="s">
        <v>287</v>
      </c>
      <c r="C267" t="s">
        <v>162</v>
      </c>
      <c r="D267" t="s">
        <v>31</v>
      </c>
      <c r="E267" t="s">
        <v>312</v>
      </c>
      <c r="F267" s="3">
        <v>2100</v>
      </c>
      <c r="G267">
        <v>0</v>
      </c>
      <c r="H267">
        <v>5.7</v>
      </c>
      <c r="I267">
        <v>12.5</v>
      </c>
      <c r="J267">
        <v>0.5</v>
      </c>
      <c r="K267" s="2">
        <v>6.8000000000000005E-2</v>
      </c>
    </row>
    <row r="268" spans="1:11" x14ac:dyDescent="0.25">
      <c r="A268">
        <v>40470889</v>
      </c>
      <c r="B268" t="s">
        <v>288</v>
      </c>
      <c r="C268" t="s">
        <v>162</v>
      </c>
      <c r="D268" t="s">
        <v>76</v>
      </c>
      <c r="E268" t="s">
        <v>311</v>
      </c>
      <c r="F268" s="3">
        <v>2000</v>
      </c>
      <c r="G268">
        <v>-2.1</v>
      </c>
      <c r="H268">
        <v>3.1</v>
      </c>
      <c r="I268">
        <v>9.4</v>
      </c>
      <c r="J268">
        <v>-1.9</v>
      </c>
      <c r="K268" s="2">
        <v>7.0000000000000001E-3</v>
      </c>
    </row>
  </sheetData>
  <sortState xmlns:xlrd2="http://schemas.microsoft.com/office/spreadsheetml/2017/richdata2" ref="A2:K256">
    <sortCondition ref="A2:A25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B906C-D187-4CDC-9D9B-BFBCDE09062A}">
  <dimension ref="A1:G27"/>
  <sheetViews>
    <sheetView workbookViewId="0">
      <selection activeCell="C1" sqref="C1"/>
    </sheetView>
  </sheetViews>
  <sheetFormatPr defaultRowHeight="15" x14ac:dyDescent="0.25"/>
  <cols>
    <col min="1" max="1" width="6.42578125" bestFit="1" customWidth="1"/>
    <col min="2" max="2" width="3.140625" bestFit="1" customWidth="1"/>
    <col min="3" max="3" width="23.28515625" customWidth="1"/>
    <col min="4" max="4" width="6" bestFit="1" customWidth="1"/>
    <col min="5" max="5" width="7.140625" bestFit="1" customWidth="1"/>
    <col min="6" max="6" width="5" bestFit="1" customWidth="1"/>
    <col min="7" max="7" width="24.28515625" bestFit="1" customWidth="1"/>
  </cols>
  <sheetData>
    <row r="1" spans="1:7" x14ac:dyDescent="0.25">
      <c r="A1" t="s">
        <v>358</v>
      </c>
      <c r="B1" t="s">
        <v>365</v>
      </c>
      <c r="C1" t="s">
        <v>328</v>
      </c>
      <c r="D1" t="s">
        <v>308</v>
      </c>
      <c r="E1" t="s">
        <v>366</v>
      </c>
      <c r="F1" t="s">
        <v>367</v>
      </c>
      <c r="G1" t="s">
        <v>327</v>
      </c>
    </row>
    <row r="2" spans="1:7" x14ac:dyDescent="0.25">
      <c r="A2" t="s">
        <v>5</v>
      </c>
      <c r="B2">
        <v>1</v>
      </c>
      <c r="C2" t="s">
        <v>332</v>
      </c>
      <c r="D2">
        <v>30.5</v>
      </c>
      <c r="E2">
        <v>-14.5</v>
      </c>
      <c r="F2">
        <v>46.5</v>
      </c>
      <c r="G2" t="s">
        <v>333</v>
      </c>
    </row>
    <row r="3" spans="1:7" x14ac:dyDescent="0.25">
      <c r="A3" t="s">
        <v>361</v>
      </c>
      <c r="B3">
        <v>2</v>
      </c>
      <c r="C3" t="s">
        <v>334</v>
      </c>
      <c r="D3">
        <v>29.5</v>
      </c>
      <c r="E3">
        <v>-11.5</v>
      </c>
      <c r="F3">
        <v>47.5</v>
      </c>
      <c r="G3" t="s">
        <v>335</v>
      </c>
    </row>
    <row r="4" spans="1:7" x14ac:dyDescent="0.25">
      <c r="A4" t="s">
        <v>26</v>
      </c>
      <c r="B4">
        <v>9</v>
      </c>
      <c r="C4" t="s">
        <v>336</v>
      </c>
      <c r="D4">
        <v>25</v>
      </c>
      <c r="E4">
        <v>-3.5</v>
      </c>
      <c r="F4">
        <v>46.5</v>
      </c>
      <c r="G4" t="s">
        <v>337</v>
      </c>
    </row>
    <row r="5" spans="1:7" x14ac:dyDescent="0.25">
      <c r="A5" t="s">
        <v>19</v>
      </c>
      <c r="B5">
        <v>3</v>
      </c>
      <c r="C5" t="s">
        <v>338</v>
      </c>
      <c r="D5">
        <v>27</v>
      </c>
      <c r="E5">
        <v>-7.5</v>
      </c>
      <c r="F5">
        <v>46.5</v>
      </c>
      <c r="G5" t="s">
        <v>339</v>
      </c>
    </row>
    <row r="6" spans="1:7" x14ac:dyDescent="0.25">
      <c r="A6" t="s">
        <v>45</v>
      </c>
      <c r="B6">
        <v>3</v>
      </c>
      <c r="C6" t="s">
        <v>340</v>
      </c>
      <c r="D6">
        <v>27</v>
      </c>
      <c r="E6">
        <v>-3.5</v>
      </c>
      <c r="F6">
        <v>50.5</v>
      </c>
      <c r="G6" t="s">
        <v>341</v>
      </c>
    </row>
    <row r="7" spans="1:7" x14ac:dyDescent="0.25">
      <c r="A7" t="s">
        <v>9</v>
      </c>
      <c r="B7">
        <v>5</v>
      </c>
      <c r="C7" t="s">
        <v>342</v>
      </c>
      <c r="D7">
        <v>25.75</v>
      </c>
      <c r="E7">
        <v>-7</v>
      </c>
      <c r="F7">
        <v>44.5</v>
      </c>
      <c r="G7" t="s">
        <v>343</v>
      </c>
    </row>
    <row r="8" spans="1:7" x14ac:dyDescent="0.25">
      <c r="A8" t="s">
        <v>25</v>
      </c>
      <c r="B8">
        <v>6</v>
      </c>
      <c r="C8" t="s">
        <v>344</v>
      </c>
      <c r="D8">
        <v>25.5</v>
      </c>
      <c r="E8">
        <v>-4.5</v>
      </c>
      <c r="F8">
        <v>46.5</v>
      </c>
      <c r="G8" t="s">
        <v>345</v>
      </c>
    </row>
    <row r="9" spans="1:7" x14ac:dyDescent="0.25">
      <c r="A9" t="s">
        <v>16</v>
      </c>
      <c r="B9">
        <v>6</v>
      </c>
      <c r="C9" t="s">
        <v>346</v>
      </c>
      <c r="D9">
        <v>25.5</v>
      </c>
      <c r="E9">
        <v>-7.5</v>
      </c>
      <c r="F9">
        <v>43.5</v>
      </c>
      <c r="G9" t="s">
        <v>347</v>
      </c>
    </row>
    <row r="10" spans="1:7" x14ac:dyDescent="0.25">
      <c r="A10" t="s">
        <v>12</v>
      </c>
      <c r="B10">
        <v>6</v>
      </c>
      <c r="C10" t="s">
        <v>348</v>
      </c>
      <c r="D10">
        <v>25.5</v>
      </c>
      <c r="E10">
        <v>-6.5</v>
      </c>
      <c r="F10">
        <v>44.5</v>
      </c>
      <c r="G10" t="s">
        <v>349</v>
      </c>
    </row>
    <row r="11" spans="1:7" x14ac:dyDescent="0.25">
      <c r="A11" t="s">
        <v>362</v>
      </c>
      <c r="B11">
        <v>10</v>
      </c>
      <c r="C11" t="s">
        <v>350</v>
      </c>
      <c r="D11">
        <v>24.25</v>
      </c>
      <c r="E11">
        <v>-3</v>
      </c>
      <c r="F11">
        <v>45.5</v>
      </c>
      <c r="G11" t="s">
        <v>351</v>
      </c>
    </row>
    <row r="12" spans="1:7" x14ac:dyDescent="0.25">
      <c r="A12" t="s">
        <v>363</v>
      </c>
      <c r="B12">
        <v>11</v>
      </c>
      <c r="C12" t="s">
        <v>352</v>
      </c>
      <c r="D12">
        <v>23.75</v>
      </c>
      <c r="E12">
        <v>-3</v>
      </c>
      <c r="F12">
        <v>44.5</v>
      </c>
      <c r="G12" t="s">
        <v>353</v>
      </c>
    </row>
    <row r="13" spans="1:7" x14ac:dyDescent="0.25">
      <c r="A13" t="s">
        <v>43</v>
      </c>
      <c r="B13">
        <v>11</v>
      </c>
      <c r="C13" t="s">
        <v>354</v>
      </c>
      <c r="D13">
        <v>23.75</v>
      </c>
      <c r="E13">
        <v>-7</v>
      </c>
      <c r="F13">
        <v>40.5</v>
      </c>
      <c r="G13" t="s">
        <v>355</v>
      </c>
    </row>
    <row r="14" spans="1:7" x14ac:dyDescent="0.25">
      <c r="A14" t="s">
        <v>14</v>
      </c>
      <c r="B14">
        <v>13</v>
      </c>
      <c r="C14" t="s">
        <v>341</v>
      </c>
      <c r="D14">
        <v>23.5</v>
      </c>
      <c r="E14">
        <v>3.5</v>
      </c>
      <c r="F14">
        <v>50.5</v>
      </c>
      <c r="G14" t="s">
        <v>340</v>
      </c>
    </row>
    <row r="15" spans="1:7" x14ac:dyDescent="0.25">
      <c r="A15" t="s">
        <v>39</v>
      </c>
      <c r="B15">
        <v>14</v>
      </c>
      <c r="C15" t="s">
        <v>337</v>
      </c>
      <c r="D15">
        <v>21.5</v>
      </c>
      <c r="E15">
        <v>3.5</v>
      </c>
      <c r="F15">
        <v>46.5</v>
      </c>
      <c r="G15" t="s">
        <v>336</v>
      </c>
    </row>
    <row r="16" spans="1:7" x14ac:dyDescent="0.25">
      <c r="A16" t="s">
        <v>22</v>
      </c>
      <c r="B16">
        <v>14</v>
      </c>
      <c r="C16" t="s">
        <v>356</v>
      </c>
      <c r="D16">
        <v>21.5</v>
      </c>
      <c r="E16">
        <v>-1.5</v>
      </c>
      <c r="F16">
        <v>41.5</v>
      </c>
      <c r="G16" t="s">
        <v>357</v>
      </c>
    </row>
    <row r="17" spans="1:7" x14ac:dyDescent="0.25">
      <c r="A17" t="s">
        <v>359</v>
      </c>
      <c r="B17">
        <v>16</v>
      </c>
      <c r="C17" t="s">
        <v>351</v>
      </c>
      <c r="D17">
        <v>21.25</v>
      </c>
      <c r="E17">
        <v>3</v>
      </c>
      <c r="F17">
        <v>45.5</v>
      </c>
      <c r="G17" t="s">
        <v>350</v>
      </c>
    </row>
    <row r="18" spans="1:7" x14ac:dyDescent="0.25">
      <c r="A18" t="s">
        <v>57</v>
      </c>
      <c r="B18">
        <v>17</v>
      </c>
      <c r="C18" t="s">
        <v>345</v>
      </c>
      <c r="D18">
        <v>21</v>
      </c>
      <c r="E18">
        <v>4.5</v>
      </c>
      <c r="F18">
        <v>46.5</v>
      </c>
      <c r="G18" t="s">
        <v>344</v>
      </c>
    </row>
    <row r="19" spans="1:7" x14ac:dyDescent="0.25">
      <c r="A19" t="s">
        <v>360</v>
      </c>
      <c r="B19">
        <v>18</v>
      </c>
      <c r="C19" t="s">
        <v>353</v>
      </c>
      <c r="D19">
        <v>20.75</v>
      </c>
      <c r="E19">
        <v>3</v>
      </c>
      <c r="F19">
        <v>44.5</v>
      </c>
      <c r="G19" t="s">
        <v>352</v>
      </c>
    </row>
    <row r="20" spans="1:7" x14ac:dyDescent="0.25">
      <c r="A20" t="s">
        <v>7</v>
      </c>
      <c r="B20">
        <v>19</v>
      </c>
      <c r="C20" t="s">
        <v>357</v>
      </c>
      <c r="D20">
        <v>20</v>
      </c>
      <c r="E20">
        <v>1.5</v>
      </c>
      <c r="F20">
        <v>41.5</v>
      </c>
      <c r="G20" t="s">
        <v>356</v>
      </c>
    </row>
    <row r="21" spans="1:7" x14ac:dyDescent="0.25">
      <c r="A21" t="s">
        <v>41</v>
      </c>
      <c r="B21">
        <v>20</v>
      </c>
      <c r="C21" t="s">
        <v>339</v>
      </c>
      <c r="D21">
        <v>19.5</v>
      </c>
      <c r="E21">
        <v>7.5</v>
      </c>
      <c r="F21">
        <v>46.5</v>
      </c>
      <c r="G21" t="s">
        <v>338</v>
      </c>
    </row>
    <row r="22" spans="1:7" x14ac:dyDescent="0.25">
      <c r="A22" t="s">
        <v>47</v>
      </c>
      <c r="B22">
        <v>21</v>
      </c>
      <c r="C22" t="s">
        <v>349</v>
      </c>
      <c r="D22">
        <v>19</v>
      </c>
      <c r="E22">
        <v>6.5</v>
      </c>
      <c r="F22">
        <v>44.5</v>
      </c>
      <c r="G22" t="s">
        <v>348</v>
      </c>
    </row>
    <row r="23" spans="1:7" x14ac:dyDescent="0.25">
      <c r="A23" t="s">
        <v>21</v>
      </c>
      <c r="B23">
        <v>22</v>
      </c>
      <c r="C23" t="s">
        <v>343</v>
      </c>
      <c r="D23">
        <v>18.75</v>
      </c>
      <c r="E23">
        <v>7</v>
      </c>
      <c r="F23">
        <v>44.5</v>
      </c>
      <c r="G23" t="s">
        <v>342</v>
      </c>
    </row>
    <row r="24" spans="1:7" x14ac:dyDescent="0.25">
      <c r="A24" t="s">
        <v>31</v>
      </c>
      <c r="B24">
        <v>23</v>
      </c>
      <c r="C24" t="s">
        <v>347</v>
      </c>
      <c r="D24">
        <v>18</v>
      </c>
      <c r="E24">
        <v>7.5</v>
      </c>
      <c r="F24">
        <v>43.5</v>
      </c>
      <c r="G24" t="s">
        <v>346</v>
      </c>
    </row>
    <row r="25" spans="1:7" x14ac:dyDescent="0.25">
      <c r="A25" t="s">
        <v>364</v>
      </c>
      <c r="B25">
        <v>23</v>
      </c>
      <c r="C25" t="s">
        <v>335</v>
      </c>
      <c r="D25">
        <v>18</v>
      </c>
      <c r="E25">
        <v>11.5</v>
      </c>
      <c r="F25">
        <v>47.5</v>
      </c>
      <c r="G25" t="s">
        <v>334</v>
      </c>
    </row>
    <row r="26" spans="1:7" x14ac:dyDescent="0.25">
      <c r="A26" t="s">
        <v>33</v>
      </c>
      <c r="B26">
        <v>25</v>
      </c>
      <c r="C26" t="s">
        <v>355</v>
      </c>
      <c r="D26">
        <v>16.75</v>
      </c>
      <c r="E26">
        <v>7</v>
      </c>
      <c r="F26">
        <v>40.5</v>
      </c>
      <c r="G26" t="s">
        <v>354</v>
      </c>
    </row>
    <row r="27" spans="1:7" x14ac:dyDescent="0.25">
      <c r="A27" t="s">
        <v>76</v>
      </c>
      <c r="B27">
        <v>26</v>
      </c>
      <c r="C27" t="s">
        <v>333</v>
      </c>
      <c r="D27">
        <v>16</v>
      </c>
      <c r="E27">
        <v>14.5</v>
      </c>
      <c r="F27">
        <v>46.5</v>
      </c>
      <c r="G27" t="s">
        <v>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ABC8C-5F1E-48C2-B8DC-069F77F29F5B}">
  <dimension ref="A1:W56"/>
  <sheetViews>
    <sheetView tabSelected="1" workbookViewId="0"/>
  </sheetViews>
  <sheetFormatPr defaultRowHeight="15" x14ac:dyDescent="0.25"/>
  <cols>
    <col min="1" max="1" width="4.28515625" bestFit="1" customWidth="1"/>
    <col min="2" max="2" width="18" bestFit="1" customWidth="1"/>
    <col min="3" max="3" width="4.7109375" bestFit="1" customWidth="1"/>
    <col min="4" max="4" width="6" bestFit="1" customWidth="1"/>
    <col min="5" max="5" width="7.140625" style="2" bestFit="1" customWidth="1"/>
    <col min="6" max="7" width="5" bestFit="1" customWidth="1"/>
    <col min="9" max="9" width="4.28515625" bestFit="1" customWidth="1"/>
    <col min="10" max="10" width="18.5703125" bestFit="1" customWidth="1"/>
    <col min="11" max="11" width="4.7109375" bestFit="1" customWidth="1"/>
    <col min="12" max="12" width="5" bestFit="1" customWidth="1"/>
    <col min="13" max="13" width="7.140625" style="2" bestFit="1" customWidth="1"/>
    <col min="14" max="15" width="5" bestFit="1" customWidth="1"/>
    <col min="17" max="17" width="4.28515625" bestFit="1" customWidth="1"/>
    <col min="18" max="18" width="17" bestFit="1" customWidth="1"/>
    <col min="19" max="19" width="4.42578125" bestFit="1" customWidth="1"/>
    <col min="20" max="20" width="5" bestFit="1" customWidth="1"/>
    <col min="21" max="21" width="6" style="2" bestFit="1" customWidth="1"/>
    <col min="22" max="23" width="5" bestFit="1" customWidth="1"/>
  </cols>
  <sheetData>
    <row r="1" spans="1:23" ht="18.75" x14ac:dyDescent="0.3">
      <c r="B1" s="8" t="s">
        <v>436</v>
      </c>
      <c r="J1" s="8" t="s">
        <v>435</v>
      </c>
      <c r="R1" s="8" t="s">
        <v>434</v>
      </c>
    </row>
    <row r="2" spans="1:23" x14ac:dyDescent="0.25">
      <c r="A2" t="s">
        <v>291</v>
      </c>
      <c r="B2" t="s">
        <v>0</v>
      </c>
      <c r="C2" t="s">
        <v>433</v>
      </c>
      <c r="D2" t="s">
        <v>432</v>
      </c>
      <c r="E2" s="2" t="s">
        <v>303</v>
      </c>
      <c r="F2" t="s">
        <v>305</v>
      </c>
      <c r="G2" t="s">
        <v>307</v>
      </c>
      <c r="I2" t="s">
        <v>291</v>
      </c>
      <c r="J2" t="s">
        <v>0</v>
      </c>
      <c r="K2" t="s">
        <v>433</v>
      </c>
      <c r="L2" t="s">
        <v>432</v>
      </c>
      <c r="M2" s="2" t="s">
        <v>303</v>
      </c>
      <c r="N2" t="s">
        <v>305</v>
      </c>
      <c r="O2" t="s">
        <v>307</v>
      </c>
      <c r="Q2" t="s">
        <v>291</v>
      </c>
      <c r="R2" t="s">
        <v>0</v>
      </c>
      <c r="S2" t="s">
        <v>433</v>
      </c>
      <c r="T2" t="s">
        <v>432</v>
      </c>
      <c r="U2" s="2" t="s">
        <v>303</v>
      </c>
      <c r="V2" t="s">
        <v>305</v>
      </c>
      <c r="W2" t="s">
        <v>307</v>
      </c>
    </row>
    <row r="3" spans="1:23" x14ac:dyDescent="0.25">
      <c r="A3" t="s">
        <v>17</v>
      </c>
      <c r="B3" t="s">
        <v>18</v>
      </c>
      <c r="C3" t="s">
        <v>19</v>
      </c>
      <c r="D3">
        <v>7500</v>
      </c>
      <c r="E3" s="2">
        <v>5.1999999999999998E-2</v>
      </c>
      <c r="F3">
        <v>22.3</v>
      </c>
      <c r="G3">
        <v>33.700000000000003</v>
      </c>
      <c r="I3" t="s">
        <v>3</v>
      </c>
      <c r="J3" t="s">
        <v>4</v>
      </c>
      <c r="K3" t="s">
        <v>5</v>
      </c>
      <c r="L3">
        <v>9500</v>
      </c>
      <c r="M3" s="2">
        <v>0.22700000000000001</v>
      </c>
      <c r="N3">
        <v>25.8</v>
      </c>
      <c r="O3">
        <v>41.7</v>
      </c>
      <c r="Q3" t="s">
        <v>10</v>
      </c>
      <c r="R3" t="s">
        <v>38</v>
      </c>
      <c r="S3" t="s">
        <v>39</v>
      </c>
      <c r="T3">
        <v>6300</v>
      </c>
      <c r="U3" s="2">
        <v>0.06</v>
      </c>
      <c r="V3">
        <v>12.8</v>
      </c>
      <c r="W3">
        <v>24.6</v>
      </c>
    </row>
    <row r="4" spans="1:23" x14ac:dyDescent="0.25">
      <c r="A4" t="s">
        <v>51</v>
      </c>
      <c r="B4" s="1" t="s">
        <v>111</v>
      </c>
      <c r="C4" t="s">
        <v>19</v>
      </c>
      <c r="D4">
        <v>4300</v>
      </c>
      <c r="E4" s="2">
        <v>3.4000000000000002E-2</v>
      </c>
      <c r="F4">
        <v>9.1999999999999993</v>
      </c>
      <c r="G4">
        <v>18.100000000000001</v>
      </c>
      <c r="I4" t="s">
        <v>3</v>
      </c>
      <c r="J4" t="s">
        <v>8</v>
      </c>
      <c r="K4" t="s">
        <v>9</v>
      </c>
      <c r="L4">
        <v>8800</v>
      </c>
      <c r="M4" s="2">
        <v>0.29099999999999998</v>
      </c>
      <c r="N4">
        <v>25.7</v>
      </c>
      <c r="O4">
        <v>41.7</v>
      </c>
      <c r="Q4" t="s">
        <v>10</v>
      </c>
      <c r="R4" t="s">
        <v>60</v>
      </c>
      <c r="S4" t="s">
        <v>41</v>
      </c>
      <c r="T4">
        <v>5700</v>
      </c>
      <c r="U4" s="2">
        <v>7.6999999999999999E-2</v>
      </c>
      <c r="V4">
        <v>12.9</v>
      </c>
      <c r="W4">
        <v>24.4</v>
      </c>
    </row>
    <row r="5" spans="1:23" x14ac:dyDescent="0.25">
      <c r="A5" t="s">
        <v>10</v>
      </c>
      <c r="B5" t="s">
        <v>77</v>
      </c>
      <c r="C5" t="s">
        <v>19</v>
      </c>
      <c r="D5">
        <v>5100</v>
      </c>
      <c r="E5" s="2">
        <v>6.9000000000000006E-2</v>
      </c>
      <c r="F5">
        <v>11.8</v>
      </c>
      <c r="G5">
        <v>22.5</v>
      </c>
      <c r="I5" t="s">
        <v>3</v>
      </c>
      <c r="J5" t="s">
        <v>6</v>
      </c>
      <c r="K5" t="s">
        <v>7</v>
      </c>
      <c r="L5">
        <v>9000</v>
      </c>
      <c r="M5" s="2">
        <v>0.16600000000000001</v>
      </c>
      <c r="N5">
        <v>23.3</v>
      </c>
      <c r="O5">
        <v>37.5</v>
      </c>
      <c r="Q5" t="s">
        <v>51</v>
      </c>
      <c r="R5" t="s">
        <v>168</v>
      </c>
      <c r="S5" t="s">
        <v>26</v>
      </c>
      <c r="T5">
        <v>3600</v>
      </c>
      <c r="U5" s="2">
        <v>0.02</v>
      </c>
      <c r="V5">
        <v>7.3</v>
      </c>
      <c r="W5">
        <v>14.9</v>
      </c>
    </row>
    <row r="6" spans="1:23" x14ac:dyDescent="0.25">
      <c r="D6">
        <f>AVERAGE(D3:D5)</f>
        <v>5633.333333333333</v>
      </c>
      <c r="E6" s="2">
        <f>AVERAGE(E3:E5)</f>
        <v>5.1666666666666666E-2</v>
      </c>
      <c r="F6">
        <f>AVERAGE(F3:F5)</f>
        <v>14.433333333333332</v>
      </c>
      <c r="G6">
        <f>AVERAGE(G3:G5)</f>
        <v>24.766666666666669</v>
      </c>
      <c r="I6" t="s">
        <v>3</v>
      </c>
      <c r="J6" t="s">
        <v>15</v>
      </c>
      <c r="K6" t="s">
        <v>16</v>
      </c>
      <c r="L6">
        <v>7600</v>
      </c>
      <c r="M6" s="2">
        <v>0.17699999999999999</v>
      </c>
      <c r="N6">
        <v>20.6</v>
      </c>
      <c r="O6">
        <v>34.9</v>
      </c>
    </row>
    <row r="7" spans="1:23" x14ac:dyDescent="0.25">
      <c r="I7" t="s">
        <v>3</v>
      </c>
      <c r="J7" t="s">
        <v>20</v>
      </c>
      <c r="K7" t="s">
        <v>21</v>
      </c>
      <c r="L7">
        <v>7300</v>
      </c>
      <c r="M7" s="2">
        <v>0.187</v>
      </c>
      <c r="N7">
        <v>19.7</v>
      </c>
      <c r="O7">
        <v>32.4</v>
      </c>
    </row>
    <row r="8" spans="1:23" x14ac:dyDescent="0.25">
      <c r="A8" t="s">
        <v>17</v>
      </c>
      <c r="B8" t="s">
        <v>34</v>
      </c>
      <c r="C8" t="s">
        <v>14</v>
      </c>
      <c r="D8">
        <v>6500</v>
      </c>
      <c r="E8" s="2">
        <v>2.9000000000000001E-2</v>
      </c>
      <c r="F8">
        <v>19</v>
      </c>
      <c r="G8">
        <v>29.5</v>
      </c>
      <c r="I8" t="s">
        <v>3</v>
      </c>
      <c r="J8" t="s">
        <v>27</v>
      </c>
      <c r="K8" t="s">
        <v>14</v>
      </c>
      <c r="L8">
        <v>6800</v>
      </c>
      <c r="M8" s="2">
        <v>9.6000000000000002E-2</v>
      </c>
      <c r="N8">
        <v>17.5</v>
      </c>
      <c r="O8">
        <v>30.4</v>
      </c>
    </row>
    <row r="9" spans="1:23" x14ac:dyDescent="0.25">
      <c r="A9" t="s">
        <v>51</v>
      </c>
      <c r="B9" t="s">
        <v>52</v>
      </c>
      <c r="C9" t="s">
        <v>14</v>
      </c>
      <c r="D9">
        <v>6000</v>
      </c>
      <c r="E9" s="2">
        <v>1.4E-2</v>
      </c>
      <c r="F9">
        <v>10.8</v>
      </c>
      <c r="G9">
        <v>19.5</v>
      </c>
      <c r="I9" t="s">
        <v>3</v>
      </c>
      <c r="J9" t="s">
        <v>28</v>
      </c>
      <c r="K9" t="s">
        <v>19</v>
      </c>
      <c r="L9">
        <v>6700</v>
      </c>
      <c r="M9" s="2">
        <v>0.11799999999999999</v>
      </c>
      <c r="N9">
        <v>18.3</v>
      </c>
      <c r="O9">
        <v>32.1</v>
      </c>
    </row>
    <row r="10" spans="1:23" x14ac:dyDescent="0.25">
      <c r="A10" t="s">
        <v>10</v>
      </c>
      <c r="B10" t="s">
        <v>13</v>
      </c>
      <c r="C10" t="s">
        <v>14</v>
      </c>
      <c r="D10">
        <v>7800</v>
      </c>
      <c r="E10" s="2">
        <v>0.1</v>
      </c>
      <c r="F10">
        <v>19.5</v>
      </c>
      <c r="G10">
        <v>34</v>
      </c>
      <c r="I10" t="s">
        <v>3</v>
      </c>
      <c r="J10" t="s">
        <v>30</v>
      </c>
      <c r="K10" t="s">
        <v>31</v>
      </c>
      <c r="L10">
        <v>6600</v>
      </c>
      <c r="M10" s="2">
        <v>4.1000000000000002E-2</v>
      </c>
      <c r="N10">
        <v>13.5</v>
      </c>
      <c r="O10">
        <v>24.3</v>
      </c>
    </row>
    <row r="11" spans="1:23" x14ac:dyDescent="0.25">
      <c r="A11" t="s">
        <v>10</v>
      </c>
      <c r="B11" t="s">
        <v>23</v>
      </c>
      <c r="C11" t="s">
        <v>14</v>
      </c>
      <c r="D11">
        <v>7100</v>
      </c>
      <c r="E11" s="2">
        <v>5.3999999999999999E-2</v>
      </c>
      <c r="F11">
        <v>14.5</v>
      </c>
      <c r="G11">
        <v>27.5</v>
      </c>
    </row>
    <row r="12" spans="1:23" x14ac:dyDescent="0.25">
      <c r="D12">
        <f>AVERAGE(D8:D11)</f>
        <v>6850</v>
      </c>
      <c r="E12" s="2">
        <f>AVERAGE(E8:E11)</f>
        <v>4.9250000000000002E-2</v>
      </c>
      <c r="F12">
        <f>AVERAGE(F8:F11)</f>
        <v>15.95</v>
      </c>
      <c r="G12">
        <f>AVERAGE(G8:G11)</f>
        <v>27.625</v>
      </c>
    </row>
    <row r="14" spans="1:23" x14ac:dyDescent="0.25">
      <c r="A14" t="s">
        <v>17</v>
      </c>
      <c r="B14" t="s">
        <v>50</v>
      </c>
      <c r="C14" t="s">
        <v>45</v>
      </c>
      <c r="D14">
        <v>6000</v>
      </c>
      <c r="E14" s="2">
        <v>0.122</v>
      </c>
      <c r="F14">
        <v>22.1</v>
      </c>
      <c r="G14">
        <v>33.299999999999997</v>
      </c>
    </row>
    <row r="15" spans="1:23" x14ac:dyDescent="0.25">
      <c r="A15" t="s">
        <v>10</v>
      </c>
      <c r="B15" t="s">
        <v>44</v>
      </c>
      <c r="C15" t="s">
        <v>45</v>
      </c>
      <c r="D15">
        <v>6200</v>
      </c>
      <c r="E15" s="2">
        <v>0.122</v>
      </c>
      <c r="F15">
        <v>14.3</v>
      </c>
      <c r="G15">
        <v>27.3</v>
      </c>
    </row>
    <row r="16" spans="1:23" x14ac:dyDescent="0.25">
      <c r="A16" t="s">
        <v>10</v>
      </c>
      <c r="B16" t="s">
        <v>120</v>
      </c>
      <c r="C16" t="s">
        <v>45</v>
      </c>
      <c r="D16">
        <v>4200</v>
      </c>
      <c r="E16" s="2">
        <v>7.5999999999999998E-2</v>
      </c>
      <c r="F16">
        <v>10.1</v>
      </c>
      <c r="G16">
        <v>20.399999999999999</v>
      </c>
    </row>
    <row r="17" spans="1:7" x14ac:dyDescent="0.25">
      <c r="D17">
        <f>AVERAGE(D14:D16)</f>
        <v>5466.666666666667</v>
      </c>
      <c r="E17" s="2">
        <f>AVERAGE(E14:E16)</f>
        <v>0.10666666666666667</v>
      </c>
      <c r="F17">
        <f>AVERAGE(F14:F16)</f>
        <v>15.500000000000002</v>
      </c>
      <c r="G17">
        <f>AVERAGE(G14:G16)</f>
        <v>27</v>
      </c>
    </row>
    <row r="19" spans="1:7" x14ac:dyDescent="0.25">
      <c r="A19" t="s">
        <v>17</v>
      </c>
      <c r="B19" t="s">
        <v>48</v>
      </c>
      <c r="C19" t="s">
        <v>5</v>
      </c>
      <c r="D19">
        <v>6100</v>
      </c>
      <c r="E19" s="2">
        <v>8.6999999999999994E-2</v>
      </c>
      <c r="F19">
        <v>19.7</v>
      </c>
      <c r="G19">
        <v>31.2</v>
      </c>
    </row>
    <row r="20" spans="1:7" x14ac:dyDescent="0.25">
      <c r="A20" t="s">
        <v>51</v>
      </c>
      <c r="B20" t="s">
        <v>67</v>
      </c>
      <c r="C20" t="s">
        <v>5</v>
      </c>
      <c r="D20">
        <v>5500</v>
      </c>
      <c r="E20" s="2">
        <v>0.12</v>
      </c>
      <c r="F20">
        <v>14.4</v>
      </c>
      <c r="G20">
        <v>26.3</v>
      </c>
    </row>
    <row r="21" spans="1:7" x14ac:dyDescent="0.25">
      <c r="A21" t="s">
        <v>10</v>
      </c>
      <c r="B21" t="s">
        <v>64</v>
      </c>
      <c r="C21" t="s">
        <v>5</v>
      </c>
      <c r="D21">
        <v>5600</v>
      </c>
      <c r="E21" s="2">
        <v>0.09</v>
      </c>
      <c r="F21">
        <v>12.8</v>
      </c>
      <c r="G21">
        <v>24.8</v>
      </c>
    </row>
    <row r="22" spans="1:7" x14ac:dyDescent="0.25">
      <c r="D22">
        <f>AVERAGE(D19:D21)</f>
        <v>5733.333333333333</v>
      </c>
      <c r="E22" s="2">
        <f>AVERAGE(E19:E21)</f>
        <v>9.8999999999999991E-2</v>
      </c>
      <c r="F22">
        <f>AVERAGE(F19:F21)</f>
        <v>15.633333333333335</v>
      </c>
      <c r="G22">
        <f>AVERAGE(G19:G21)</f>
        <v>27.433333333333334</v>
      </c>
    </row>
    <row r="24" spans="1:7" x14ac:dyDescent="0.25">
      <c r="A24" t="s">
        <v>17</v>
      </c>
      <c r="B24" t="s">
        <v>73</v>
      </c>
      <c r="C24" t="s">
        <v>7</v>
      </c>
      <c r="D24">
        <v>5300</v>
      </c>
      <c r="E24" s="2">
        <v>8.0000000000000002E-3</v>
      </c>
      <c r="F24">
        <v>15.3</v>
      </c>
      <c r="G24">
        <v>24.6</v>
      </c>
    </row>
    <row r="25" spans="1:7" x14ac:dyDescent="0.25">
      <c r="A25" t="s">
        <v>51</v>
      </c>
      <c r="B25" t="s">
        <v>101</v>
      </c>
      <c r="C25" t="s">
        <v>7</v>
      </c>
      <c r="D25">
        <v>4500</v>
      </c>
      <c r="E25" s="2">
        <v>0.10299999999999999</v>
      </c>
      <c r="F25">
        <v>12.8</v>
      </c>
      <c r="G25">
        <v>23.8</v>
      </c>
    </row>
    <row r="26" spans="1:7" x14ac:dyDescent="0.25">
      <c r="D26">
        <f>AVERAGE(D24:D25)</f>
        <v>4900</v>
      </c>
      <c r="E26" s="2">
        <f>AVERAGE(E24:E25)</f>
        <v>5.5499999999999994E-2</v>
      </c>
      <c r="F26">
        <f>AVERAGE(F24:F25)</f>
        <v>14.05</v>
      </c>
      <c r="G26">
        <f>AVERAGE(G24:G25)</f>
        <v>24.200000000000003</v>
      </c>
    </row>
    <row r="28" spans="1:7" x14ac:dyDescent="0.25">
      <c r="A28" t="s">
        <v>17</v>
      </c>
      <c r="B28" t="s">
        <v>42</v>
      </c>
      <c r="C28" t="s">
        <v>43</v>
      </c>
      <c r="D28">
        <v>6200</v>
      </c>
      <c r="E28" s="2">
        <v>4.7E-2</v>
      </c>
      <c r="F28">
        <v>19.7</v>
      </c>
      <c r="G28">
        <v>30.1</v>
      </c>
    </row>
    <row r="29" spans="1:7" x14ac:dyDescent="0.25">
      <c r="A29" t="s">
        <v>10</v>
      </c>
      <c r="B29" t="s">
        <v>55</v>
      </c>
      <c r="C29" t="s">
        <v>43</v>
      </c>
      <c r="D29">
        <v>5800</v>
      </c>
      <c r="E29" s="2">
        <v>0.108</v>
      </c>
      <c r="F29">
        <v>14.4</v>
      </c>
      <c r="G29">
        <v>26.7</v>
      </c>
    </row>
    <row r="30" spans="1:7" x14ac:dyDescent="0.25">
      <c r="A30" t="s">
        <v>10</v>
      </c>
      <c r="B30" t="s">
        <v>87</v>
      </c>
      <c r="C30" t="s">
        <v>43</v>
      </c>
      <c r="D30">
        <v>4800</v>
      </c>
      <c r="E30" s="2">
        <v>7.0000000000000001E-3</v>
      </c>
      <c r="F30">
        <v>7.9</v>
      </c>
      <c r="G30">
        <v>17.5</v>
      </c>
    </row>
    <row r="31" spans="1:7" x14ac:dyDescent="0.25">
      <c r="D31">
        <f>AVERAGE(D28:D30)</f>
        <v>5600</v>
      </c>
      <c r="E31" s="2">
        <f>AVERAGE(E28:E30)</f>
        <v>5.3999999999999999E-2</v>
      </c>
      <c r="F31">
        <f>AVERAGE(F28:F30)</f>
        <v>14</v>
      </c>
      <c r="G31">
        <f>AVERAGE(G28:G30)</f>
        <v>24.766666666666666</v>
      </c>
    </row>
    <row r="33" spans="1:7" x14ac:dyDescent="0.25">
      <c r="A33" t="s">
        <v>17</v>
      </c>
      <c r="B33" t="s">
        <v>89</v>
      </c>
      <c r="C33" t="s">
        <v>57</v>
      </c>
      <c r="D33">
        <v>4700</v>
      </c>
      <c r="E33" s="2">
        <v>8.5999999999999993E-2</v>
      </c>
      <c r="F33">
        <v>16.899999999999999</v>
      </c>
      <c r="G33">
        <v>26.8</v>
      </c>
    </row>
    <row r="34" spans="1:7" x14ac:dyDescent="0.25">
      <c r="A34" t="s">
        <v>10</v>
      </c>
      <c r="B34" t="s">
        <v>56</v>
      </c>
      <c r="C34" t="s">
        <v>57</v>
      </c>
      <c r="D34">
        <v>5800</v>
      </c>
      <c r="E34" s="2">
        <v>0.20899999999999999</v>
      </c>
      <c r="F34">
        <v>15.8</v>
      </c>
      <c r="G34">
        <v>28.2</v>
      </c>
    </row>
    <row r="35" spans="1:7" x14ac:dyDescent="0.25">
      <c r="A35" t="s">
        <v>10</v>
      </c>
      <c r="B35" t="s">
        <v>90</v>
      </c>
      <c r="C35" t="s">
        <v>57</v>
      </c>
      <c r="D35">
        <v>4700</v>
      </c>
      <c r="E35" s="2">
        <v>0.123</v>
      </c>
      <c r="F35">
        <v>12.5</v>
      </c>
      <c r="G35">
        <v>23.7</v>
      </c>
    </row>
    <row r="36" spans="1:7" x14ac:dyDescent="0.25">
      <c r="D36">
        <f>AVERAGE(D33:D35)</f>
        <v>5066.666666666667</v>
      </c>
      <c r="E36" s="2">
        <f>AVERAGE(E33:E35)</f>
        <v>0.13933333333333334</v>
      </c>
      <c r="F36">
        <f>AVERAGE(F33:F35)</f>
        <v>15.066666666666668</v>
      </c>
      <c r="G36">
        <f>AVERAGE(G33:G35)</f>
        <v>26.233333333333334</v>
      </c>
    </row>
    <row r="38" spans="1:7" x14ac:dyDescent="0.25">
      <c r="A38" t="s">
        <v>17</v>
      </c>
      <c r="B38" t="s">
        <v>66</v>
      </c>
      <c r="C38" t="s">
        <v>31</v>
      </c>
      <c r="D38">
        <v>5500</v>
      </c>
      <c r="E38" s="2">
        <v>0.03</v>
      </c>
      <c r="F38">
        <v>17.7</v>
      </c>
      <c r="G38">
        <v>27.9</v>
      </c>
    </row>
    <row r="39" spans="1:7" x14ac:dyDescent="0.25">
      <c r="A39" t="s">
        <v>51</v>
      </c>
      <c r="B39" t="s">
        <v>166</v>
      </c>
      <c r="C39" t="s">
        <v>31</v>
      </c>
      <c r="D39">
        <v>3700</v>
      </c>
      <c r="E39" s="2">
        <v>2.8000000000000001E-2</v>
      </c>
      <c r="F39">
        <v>8.9</v>
      </c>
      <c r="G39">
        <v>17.2</v>
      </c>
    </row>
    <row r="40" spans="1:7" x14ac:dyDescent="0.25">
      <c r="A40" t="s">
        <v>10</v>
      </c>
      <c r="B40" t="s">
        <v>74</v>
      </c>
      <c r="C40" t="s">
        <v>31</v>
      </c>
      <c r="D40">
        <v>5200</v>
      </c>
      <c r="E40" s="2">
        <v>0.08</v>
      </c>
      <c r="F40">
        <v>12.4</v>
      </c>
      <c r="G40">
        <v>23</v>
      </c>
    </row>
    <row r="41" spans="1:7" x14ac:dyDescent="0.25">
      <c r="D41">
        <f>AVERAGE(D38:D40)</f>
        <v>4800</v>
      </c>
      <c r="E41" s="2">
        <f>AVERAGE(E38:E40)</f>
        <v>4.6000000000000006E-2</v>
      </c>
      <c r="F41">
        <f>AVERAGE(F38:F40)</f>
        <v>13</v>
      </c>
      <c r="G41">
        <f>AVERAGE(G38:G40)</f>
        <v>22.7</v>
      </c>
    </row>
    <row r="43" spans="1:7" x14ac:dyDescent="0.25">
      <c r="A43" t="s">
        <v>17</v>
      </c>
      <c r="B43" t="s">
        <v>82</v>
      </c>
      <c r="C43" t="s">
        <v>47</v>
      </c>
      <c r="D43">
        <v>5000</v>
      </c>
      <c r="E43" s="2">
        <v>3.4000000000000002E-2</v>
      </c>
      <c r="F43">
        <v>17.600000000000001</v>
      </c>
      <c r="G43">
        <v>27.9</v>
      </c>
    </row>
    <row r="44" spans="1:7" x14ac:dyDescent="0.25">
      <c r="A44" t="s">
        <v>51</v>
      </c>
      <c r="B44" t="s">
        <v>174</v>
      </c>
      <c r="C44" t="s">
        <v>47</v>
      </c>
      <c r="D44">
        <v>3500</v>
      </c>
      <c r="E44" s="2">
        <v>7.0000000000000007E-2</v>
      </c>
      <c r="F44">
        <v>10</v>
      </c>
      <c r="G44">
        <v>18.3</v>
      </c>
    </row>
    <row r="45" spans="1:7" x14ac:dyDescent="0.25">
      <c r="D45">
        <f>AVERAGE(D43:D44)</f>
        <v>4250</v>
      </c>
      <c r="E45" s="2">
        <f>AVERAGE(E43:E44)</f>
        <v>5.2000000000000005E-2</v>
      </c>
      <c r="F45">
        <f>AVERAGE(F43:F44)</f>
        <v>13.8</v>
      </c>
      <c r="G45">
        <f>AVERAGE(G43:G44)</f>
        <v>23.1</v>
      </c>
    </row>
    <row r="47" spans="1:7" x14ac:dyDescent="0.25">
      <c r="A47" t="s">
        <v>17</v>
      </c>
      <c r="B47" t="s">
        <v>29</v>
      </c>
      <c r="C47" t="s">
        <v>16</v>
      </c>
      <c r="D47">
        <v>6600</v>
      </c>
      <c r="E47" s="2">
        <v>0.121</v>
      </c>
      <c r="F47">
        <v>20.7</v>
      </c>
      <c r="G47">
        <v>31.6</v>
      </c>
    </row>
    <row r="48" spans="1:7" x14ac:dyDescent="0.25">
      <c r="A48" t="s">
        <v>51</v>
      </c>
      <c r="B48" t="s">
        <v>118</v>
      </c>
      <c r="C48" t="s">
        <v>16</v>
      </c>
      <c r="D48">
        <v>4200</v>
      </c>
      <c r="E48" s="2">
        <v>0.19600000000000001</v>
      </c>
      <c r="F48">
        <v>13.7</v>
      </c>
      <c r="G48">
        <v>24.6</v>
      </c>
    </row>
    <row r="49" spans="1:7" x14ac:dyDescent="0.25">
      <c r="A49" t="s">
        <v>10</v>
      </c>
      <c r="B49" t="s">
        <v>54</v>
      </c>
      <c r="C49" t="s">
        <v>16</v>
      </c>
      <c r="D49">
        <v>5900</v>
      </c>
      <c r="E49" s="2">
        <v>0.29399999999999998</v>
      </c>
      <c r="F49">
        <v>17.600000000000001</v>
      </c>
      <c r="G49">
        <v>31.6</v>
      </c>
    </row>
    <row r="50" spans="1:7" x14ac:dyDescent="0.25">
      <c r="D50">
        <f>AVERAGE(D47:D49)</f>
        <v>5566.666666666667</v>
      </c>
      <c r="E50" s="2">
        <f>AVERAGE(E47:E49)</f>
        <v>0.20366666666666666</v>
      </c>
      <c r="F50">
        <f>AVERAGE(F47:F49)</f>
        <v>17.333333333333332</v>
      </c>
      <c r="G50">
        <f>AVERAGE(G47:G49)</f>
        <v>29.266666666666669</v>
      </c>
    </row>
    <row r="52" spans="1:7" x14ac:dyDescent="0.25">
      <c r="A52" t="s">
        <v>17</v>
      </c>
      <c r="B52" t="s">
        <v>36</v>
      </c>
      <c r="C52" t="s">
        <v>25</v>
      </c>
      <c r="D52">
        <v>6400</v>
      </c>
      <c r="E52" s="2">
        <v>9.4E-2</v>
      </c>
      <c r="F52">
        <v>20.6</v>
      </c>
      <c r="G52">
        <v>31.7</v>
      </c>
    </row>
    <row r="53" spans="1:7" x14ac:dyDescent="0.25">
      <c r="A53" t="s">
        <v>51</v>
      </c>
      <c r="B53" t="s">
        <v>179</v>
      </c>
      <c r="C53" t="s">
        <v>25</v>
      </c>
      <c r="D53">
        <v>3400</v>
      </c>
      <c r="E53" s="2">
        <v>0.114</v>
      </c>
      <c r="F53">
        <v>10.3</v>
      </c>
      <c r="G53">
        <v>19.600000000000001</v>
      </c>
    </row>
    <row r="54" spans="1:7" x14ac:dyDescent="0.25">
      <c r="A54" t="s">
        <v>10</v>
      </c>
      <c r="B54" t="s">
        <v>24</v>
      </c>
      <c r="C54" t="s">
        <v>25</v>
      </c>
      <c r="D54">
        <v>7000</v>
      </c>
      <c r="E54" s="2">
        <v>0.186</v>
      </c>
      <c r="F54">
        <v>17.8</v>
      </c>
      <c r="G54">
        <v>32.5</v>
      </c>
    </row>
    <row r="55" spans="1:7" x14ac:dyDescent="0.25">
      <c r="A55" t="s">
        <v>10</v>
      </c>
      <c r="B55" t="s">
        <v>114</v>
      </c>
      <c r="C55" t="s">
        <v>25</v>
      </c>
      <c r="D55">
        <v>4300</v>
      </c>
      <c r="E55" s="2">
        <v>0.107</v>
      </c>
      <c r="F55">
        <v>11.5</v>
      </c>
      <c r="G55">
        <v>23.1</v>
      </c>
    </row>
    <row r="56" spans="1:7" x14ac:dyDescent="0.25">
      <c r="D56">
        <f>AVERAGE(D52:D55)</f>
        <v>5275</v>
      </c>
      <c r="E56" s="2">
        <f>AVERAGE(E52:E55)</f>
        <v>0.12525</v>
      </c>
      <c r="F56">
        <f>AVERAGE(F52:F55)</f>
        <v>15.05</v>
      </c>
      <c r="G56">
        <f>AVERAGE(G52:G55)</f>
        <v>26.725000000000001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</vt:lpstr>
      <vt:lpstr>ETR</vt:lpstr>
      <vt:lpstr>ITT</vt:lpstr>
      <vt:lpstr>Stacks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Howeth</dc:creator>
  <cp:lastModifiedBy>Chris Howeth</cp:lastModifiedBy>
  <dcterms:created xsi:type="dcterms:W3CDTF">2025-10-24T20:32:08Z</dcterms:created>
  <dcterms:modified xsi:type="dcterms:W3CDTF">2025-10-26T03:15:00Z</dcterms:modified>
</cp:coreProperties>
</file>